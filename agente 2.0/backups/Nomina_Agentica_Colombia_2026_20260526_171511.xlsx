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3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Novedades_Horas" sheetId="3" state="visible" r:id="rId3"/>
    <sheet xmlns:r="http://schemas.openxmlformats.org/officeDocument/2006/relationships" name="Calculo_Nomina" sheetId="4" state="visible" r:id="rId4"/>
    <sheet xmlns:r="http://schemas.openxmlformats.org/officeDocument/2006/relationships" name="Validaciones" sheetId="5" state="visible" r:id="rId5"/>
    <sheet xmlns:r="http://schemas.openxmlformats.org/officeDocument/2006/relationships" name="Reporte_Gerencial" sheetId="6" state="visible" r:id="rId6"/>
    <sheet xmlns:r="http://schemas.openxmlformats.org/officeDocument/2006/relationships" name="Escenarios" sheetId="7" state="visible" r:id="rId7"/>
    <sheet xmlns:r="http://schemas.openxmlformats.org/officeDocument/2006/relationships" name="Agente_NL" sheetId="8" state="visible" r:id="rId8"/>
    <sheet xmlns:r="http://schemas.openxmlformats.org/officeDocument/2006/relationships" name="Bitacora_Workflows" sheetId="9" state="visible" r:id="rId9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\-mm\-dd"/>
    <numFmt numFmtId="166" formatCode="mmmm\ yyyy"/>
    <numFmt numFmtId="167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8"/>
    </font>
    <font>
      <name val="Calibri"/>
      <b val="1"/>
      <sz val="11"/>
    </font>
    <font>
      <name val="Calibri"/>
      <b val="1"/>
      <color rgb="FF1F4E78"/>
      <sz val="11"/>
    </font>
    <font>
      <name val="Calibri"/>
      <b val="1"/>
      <color rgb="FF1F4E78"/>
      <sz val="16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6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7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MX"/>
              <a:t>Neto a pagar por area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Reporte_Gerencial!$E$3</f>
              <strCache>
                <ptCount val="1"/>
                <pt idx="0">
                  <v>Neto a pagar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Reporte_Gerencial!$D$4:$D$9</f>
              <strCache>
                <ptCount val="6"/>
                <pt idx="0">
                  <v>Administracion</v>
                </pt>
                <pt idx="1">
                  <v>Comercial</v>
                </pt>
                <pt idx="2">
                  <v>Finanzas</v>
                </pt>
                <pt idx="3">
                  <v>Operaciones</v>
                </pt>
                <pt idx="4">
                  <v>Talento Humano</v>
                </pt>
                <pt idx="5">
                  <v>Tecnologia</v>
                </pt>
              </strCache>
            </strRef>
          </cat>
          <val>
            <numRef>
              <f>Reporte_Gerencial!$E$4:$E$9</f>
              <numCache>
                <formatCode>"$"#,##0</formatCode>
                <ptCount val="6"/>
                <pt idx="0">
                  <v>7880677</v>
                </pt>
                <pt idx="1">
                  <v>19514343</v>
                </pt>
                <pt idx="2">
                  <v>15172159</v>
                </pt>
                <pt idx="3">
                  <v>18930462</v>
                </pt>
                <pt idx="4">
                  <v>25371767</v>
                </pt>
                <pt idx="5">
                  <v>24836606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MX"/>
                  <a:t>Area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MX"/>
                  <a:t>COP</a:t>
                </a:r>
              </a:p>
            </rich>
          </tx>
          <overlay val="1"/>
        </title>
        <numFmt formatCode="&quot;$&quot;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MX"/>
              <a:t>Distribucion costo estimado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Reporte_Gerencial!$F$3</f>
              <strCache>
                <ptCount val="1"/>
                <pt idx="0">
                  <v>Costo estimado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Reporte_Gerencial!$D$4:$D$9</f>
              <strCache>
                <ptCount val="6"/>
                <pt idx="0">
                  <v>Administracion</v>
                </pt>
                <pt idx="1">
                  <v>Comercial</v>
                </pt>
                <pt idx="2">
                  <v>Finanzas</v>
                </pt>
                <pt idx="3">
                  <v>Operaciones</v>
                </pt>
                <pt idx="4">
                  <v>Talento Humano</v>
                </pt>
                <pt idx="5">
                  <v>Tecnologia</v>
                </pt>
              </strCache>
            </strRef>
          </cat>
          <val>
            <numRef>
              <f>Reporte_Gerencial!$F$4:$F$9</f>
              <numCache>
                <formatCode>"$"#,##0</formatCode>
                <ptCount val="6"/>
                <pt idx="0">
                  <v>10252554</v>
                </pt>
                <pt idx="1">
                  <v>26019506</v>
                </pt>
                <pt idx="2">
                  <v>20218459</v>
                </pt>
                <pt idx="3">
                  <v>25152694</v>
                </pt>
                <pt idx="4">
                  <v>34153431</v>
                </pt>
                <pt idx="5">
                  <v>33084926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609599</colOff>
      <row>19</row>
      <rowOff>28574</rowOff>
    </from>
    <ext cx="6743701" cy="39528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arametros" displayName="tblParametros" ref="A1:C17" headerRowCount="1">
  <autoFilter ref="A1:C17"/>
  <tableColumns count="3">
    <tableColumn id="1" name="Parametro"/>
    <tableColumn id="2" name="Valor"/>
    <tableColumn id="3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A1:M31" headerRowCount="1">
  <autoFilter ref="A1:M31"/>
  <tableColumns count="13">
    <tableColumn id="1" name="ID"/>
    <tableColumn id="2" name="Nombre"/>
    <tableColumn id="3" name="Cargo"/>
    <tableColumn id="4" name="Area"/>
    <tableColumn id="5" name="SalarioBase"/>
    <tableColumn id="6" name="TipoContrato"/>
    <tableColumn id="7" name="HorasContratadas"/>
    <tableColumn id="8" name="FechaIngreso"/>
    <tableColumn id="9" name="EPS"/>
    <tableColumn id="10" name="Pension"/>
    <tableColumn id="11" name="Ciudad"/>
    <tableColumn id="12" name="Activo"/>
    <tableColumn id="13" name="ObservacionAg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Novedades" displayName="tblNovedades" ref="A1:K31" headerRowCount="1">
  <autoFilter ref="A1:K31"/>
  <tableColumns count="11">
    <tableColumn id="1" name="ID"/>
    <tableColumn id="2" name="EmpleadoID"/>
    <tableColumn id="3" name="HorasOrdinarias"/>
    <tableColumn id="4" name="HorasExtraDiurnas"/>
    <tableColumn id="5" name="HorasExtraNocturnas"/>
    <tableColumn id="6" name="HorasRecargoNocturno"/>
    <tableColumn id="7" name="HorasDominicalFestivo"/>
    <tableColumn id="8" name="DiasNoTrabajados"/>
    <tableColumn id="9" name="Bonificaciones"/>
    <tableColumn id="10" name="PrestamosDescuentos"/>
    <tableColumn id="11" name="Observ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alculoNomina" displayName="tblCalculoNomina" ref="A1:S31" headerRowCount="1">
  <autoFilter ref="A1:S31"/>
  <tableColumns count="19">
    <tableColumn id="1" name="EmpleadoID"/>
    <tableColumn id="2" name="Nombre"/>
    <tableColumn id="3" name="Cargo"/>
    <tableColumn id="4" name="Area"/>
    <tableColumn id="5" name="SalarioBase"/>
    <tableColumn id="6" name="ValorHora"/>
    <tableColumn id="7" name="SalarioDevengado"/>
    <tableColumn id="8" name="AuxTransporte"/>
    <tableColumn id="9" name="ValorExtrasRecargos"/>
    <tableColumn id="10" name="Bonificaciones"/>
    <tableColumn id="11" name="TotalDevengado"/>
    <tableColumn id="12" name="Salud"/>
    <tableColumn id="13" name="Pension"/>
    <tableColumn id="14" name="RetencionFuente"/>
    <tableColumn id="15" name="PrestamosDescuentos"/>
    <tableColumn id="16" name="TotalDeducciones"/>
    <tableColumn id="17" name="NetoAPagar"/>
    <tableColumn id="18" name="CostoEmpresaEstimado"/>
    <tableColumn id="19" name="EstadoAg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Validaciones" displayName="tblValidaciones" ref="A1:C6" headerRowCount="1">
  <autoFilter ref="A1:C6"/>
  <tableColumns count="3">
    <tableColumn id="1" name="Regla"/>
    <tableColumn id="2" name="Resultado"/>
    <tableColumn id="3" name="Accion sugeri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scenarios" displayName="tblEscenarios" ref="A1:E5" headerRowCount="1">
  <autoFilter ref="A1:E5"/>
  <tableColumns count="5">
    <tableColumn id="1" name="Escenario"/>
    <tableColumn id="2" name="Parametro"/>
    <tableColumn id="3" name="Valor"/>
    <tableColumn id="4" name="Resultado estimado"/>
    <tableColumn id="5" name="Formula/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Workflows" displayName="tblWorkflows" ref="A1:D6" headerRowCount="1">
  <autoFilter ref="A1:D6"/>
  <tableColumns count="4">
    <tableColumn id="1" name="Workflow"/>
    <tableColumn id="2" name="Disparador"/>
    <tableColumn id="3" name="Accion automatizada"/>
    <tableColumn id="4" name="Implementacion 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8" customWidth="1" min="1" max="1"/>
    <col width="24" customWidth="1" min="2" max="2"/>
    <col width="56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s="12" t="inlineStr">
        <is>
          <t>Anio</t>
        </is>
      </c>
      <c r="B2" s="3" t="n">
        <v>2026</v>
      </c>
      <c r="C2" s="12" t="inlineStr">
        <is>
          <t>Ano fiscal editable</t>
        </is>
      </c>
    </row>
    <row r="3">
      <c r="A3" s="12" t="inlineStr">
        <is>
          <t>Mes</t>
        </is>
      </c>
      <c r="B3" s="3" t="n">
        <v>5</v>
      </c>
      <c r="C3" s="12" t="inlineStr">
        <is>
          <t>Mes de liquidacion 1-12</t>
        </is>
      </c>
    </row>
    <row r="4">
      <c r="A4" s="12" t="inlineStr">
        <is>
          <t>DiasPeriodo</t>
        </is>
      </c>
      <c r="B4" s="3" t="n">
        <v>30</v>
      </c>
      <c r="C4" s="12" t="inlineStr">
        <is>
          <t>Dias liquidados por periodo</t>
        </is>
      </c>
    </row>
    <row r="5">
      <c r="A5" s="12" t="inlineStr">
        <is>
          <t>SMLMV</t>
        </is>
      </c>
      <c r="B5" s="4" t="n">
        <v>1750905</v>
      </c>
      <c r="C5" s="12" t="inlineStr">
        <is>
          <t>Salario minimo legal mensual vigente 2026</t>
        </is>
      </c>
    </row>
    <row r="6">
      <c r="A6" s="12" t="inlineStr">
        <is>
          <t>AuxTransporte</t>
        </is>
      </c>
      <c r="B6" s="4" t="n">
        <v>249095</v>
      </c>
      <c r="C6" s="12" t="inlineStr">
        <is>
          <t>Auxilio legal de transporte mensual 2026</t>
        </is>
      </c>
    </row>
    <row r="7">
      <c r="A7" s="12" t="inlineStr">
        <is>
          <t>TopeAuxTransporte</t>
        </is>
      </c>
      <c r="B7" s="4" t="n">
        <v>3501810</v>
      </c>
      <c r="C7" s="12" t="inlineStr">
        <is>
          <t>Aplica si salario base &lt;= 2 SMLMV</t>
        </is>
      </c>
    </row>
    <row r="8">
      <c r="A8" s="12" t="inlineStr">
        <is>
          <t>HorasMes</t>
        </is>
      </c>
      <c r="B8" s="3" t="n">
        <v>240</v>
      </c>
      <c r="C8" s="12" t="inlineStr">
        <is>
          <t>Base de horas mensuales para valor hora</t>
        </is>
      </c>
    </row>
    <row r="9">
      <c r="A9" s="12" t="inlineStr">
        <is>
          <t>SaludEmpleado</t>
        </is>
      </c>
      <c r="B9" s="5" t="n">
        <v>0.04</v>
      </c>
      <c r="C9" s="12" t="inlineStr">
        <is>
          <t>Aporte salud empleado</t>
        </is>
      </c>
    </row>
    <row r="10">
      <c r="A10" s="12" t="inlineStr">
        <is>
          <t>PensionEmpleado</t>
        </is>
      </c>
      <c r="B10" s="5" t="n">
        <v>0.04</v>
      </c>
      <c r="C10" s="12" t="inlineStr">
        <is>
          <t>Aporte pension empleado</t>
        </is>
      </c>
    </row>
    <row r="11">
      <c r="A11" s="12" t="inlineStr">
        <is>
          <t>RiesgoValidacionSalarioAlto</t>
        </is>
      </c>
      <c r="B11" s="4" t="n">
        <v>20000000</v>
      </c>
      <c r="C11" s="12" t="inlineStr">
        <is>
          <t>Umbral de alerta por salario alto</t>
        </is>
      </c>
    </row>
    <row r="12">
      <c r="A12" s="12" t="inlineStr">
        <is>
          <t>FactorHoraExtraDiurna</t>
        </is>
      </c>
      <c r="B12" s="12" t="n">
        <v>1.25</v>
      </c>
      <c r="C12" s="12" t="inlineStr">
        <is>
          <t>Factor sobre hora ordinaria</t>
        </is>
      </c>
    </row>
    <row r="13">
      <c r="A13" s="12" t="inlineStr">
        <is>
          <t>FactorHoraExtraNocturna</t>
        </is>
      </c>
      <c r="B13" s="12" t="n">
        <v>1.75</v>
      </c>
      <c r="C13" s="12" t="inlineStr">
        <is>
          <t>Factor sobre hora ordinaria</t>
        </is>
      </c>
    </row>
    <row r="14">
      <c r="A14" s="12" t="inlineStr">
        <is>
          <t>FactorRecargoNocturno</t>
        </is>
      </c>
      <c r="B14" s="5" t="n">
        <v>0.35</v>
      </c>
      <c r="C14" s="12" t="inlineStr">
        <is>
          <t>Solo recargo adicional</t>
        </is>
      </c>
    </row>
    <row r="15">
      <c r="A15" s="12" t="inlineStr">
        <is>
          <t>FactorDominicalFestivo</t>
        </is>
      </c>
      <c r="B15" s="12" t="n">
        <v>1.75</v>
      </c>
      <c r="C15" s="12" t="inlineStr">
        <is>
          <t>Factor sobre hora ordinaria</t>
        </is>
      </c>
    </row>
    <row r="16" ht="30" customHeight="1">
      <c r="A16" s="12" t="inlineStr">
        <is>
          <t>FuenteSMLMV</t>
        </is>
      </c>
      <c r="B16" s="12" t="inlineStr">
        <is>
          <t>Decreto 1469 de 2025 / Presidencia Colombia</t>
        </is>
      </c>
      <c r="C16" s="12" t="inlineStr">
        <is>
          <t>Referencia normativa cargada en mayo de 2026</t>
        </is>
      </c>
    </row>
    <row r="17" ht="30" customHeight="1">
      <c r="A17" s="12" t="inlineStr">
        <is>
          <t>FuenteAuxTransporte</t>
        </is>
      </c>
      <c r="B17" s="12" t="inlineStr">
        <is>
          <t>Decreto 1470 de 2025 / SUIN Juriscol</t>
        </is>
      </c>
      <c r="C17" s="12" t="inlineStr">
        <is>
          <t>Referencia normativa cargada en mayo de 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24" customWidth="1" min="2" max="2"/>
    <col width="26" customWidth="1" min="3" max="3"/>
    <col width="18" customWidth="1" min="4" max="4"/>
    <col width="15" customWidth="1" min="5" max="5"/>
    <col width="16" customWidth="1" min="6" max="7"/>
    <col width="14" customWidth="1" min="8" max="8"/>
    <col width="16" customWidth="1" min="9" max="10"/>
    <col width="14" customWidth="1" min="11" max="11"/>
    <col width="10" customWidth="1" min="12" max="12"/>
    <col width="36" customWidth="1" min="13" max="13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Area</t>
        </is>
      </c>
      <c r="E1" s="1" t="inlineStr">
        <is>
          <t>SalarioBase</t>
        </is>
      </c>
      <c r="F1" s="1" t="inlineStr">
        <is>
          <t>TipoContrato</t>
        </is>
      </c>
      <c r="G1" s="1" t="inlineStr">
        <is>
          <t>HorasContratadas</t>
        </is>
      </c>
      <c r="H1" s="1" t="inlineStr">
        <is>
          <t>FechaIngreso</t>
        </is>
      </c>
      <c r="I1" s="1" t="inlineStr">
        <is>
          <t>EPS</t>
        </is>
      </c>
      <c r="J1" s="1" t="inlineStr">
        <is>
          <t>Pension</t>
        </is>
      </c>
      <c r="K1" s="1" t="inlineStr">
        <is>
          <t>Ciudad</t>
        </is>
      </c>
      <c r="L1" s="1" t="inlineStr">
        <is>
          <t>Activo</t>
        </is>
      </c>
      <c r="M1" s="1" t="inlineStr">
        <is>
          <t>ObservacionAgente</t>
        </is>
      </c>
    </row>
    <row r="2">
      <c r="A2" s="12" t="inlineStr">
        <is>
          <t>EMP-0001</t>
        </is>
      </c>
      <c r="B2" s="12" t="inlineStr">
        <is>
          <t>Paula Torres</t>
        </is>
      </c>
      <c r="C2" s="12" t="inlineStr">
        <is>
          <t>Desarrollador Senior</t>
        </is>
      </c>
      <c r="D2" s="12" t="inlineStr">
        <is>
          <t>Finanzas</t>
        </is>
      </c>
      <c r="E2" s="4" t="n">
        <v>1750905</v>
      </c>
      <c r="F2" s="12" t="inlineStr">
        <is>
          <t>Fijo</t>
        </is>
      </c>
      <c r="G2" s="12" t="n">
        <v>240</v>
      </c>
      <c r="H2" s="6" t="n">
        <v>44875</v>
      </c>
      <c r="I2" s="12" t="inlineStr">
        <is>
          <t>Sanitas</t>
        </is>
      </c>
      <c r="J2" s="12" t="inlineStr">
        <is>
          <t>Proteccion</t>
        </is>
      </c>
      <c r="K2" s="12" t="inlineStr">
        <is>
          <t>Barranquilla</t>
        </is>
      </c>
      <c r="L2" s="12" t="inlineStr">
        <is>
          <t>Si</t>
        </is>
      </c>
      <c r="M2" s="12" t="n"/>
    </row>
    <row r="3">
      <c r="A3" s="12" t="inlineStr">
        <is>
          <t>EMP-0002</t>
        </is>
      </c>
      <c r="B3" s="12" t="inlineStr">
        <is>
          <t>Sofia Rodriguez</t>
        </is>
      </c>
      <c r="C3" s="12" t="inlineStr">
        <is>
          <t>Analista de Nomina</t>
        </is>
      </c>
      <c r="D3" s="12" t="inlineStr">
        <is>
          <t>Operaciones</t>
        </is>
      </c>
      <c r="E3" s="4" t="n">
        <v>1750905</v>
      </c>
      <c r="F3" s="12" t="inlineStr">
        <is>
          <t>Fijo</t>
        </is>
      </c>
      <c r="G3" s="12" t="n">
        <v>240</v>
      </c>
      <c r="H3" s="6" t="n">
        <v>43554</v>
      </c>
      <c r="I3" s="12" t="inlineStr">
        <is>
          <t>Nueva EPS</t>
        </is>
      </c>
      <c r="J3" s="12" t="inlineStr">
        <is>
          <t>Skandia</t>
        </is>
      </c>
      <c r="K3" s="12" t="inlineStr">
        <is>
          <t>Bogota</t>
        </is>
      </c>
      <c r="L3" s="12" t="inlineStr">
        <is>
          <t>Si</t>
        </is>
      </c>
      <c r="M3" s="12" t="n"/>
    </row>
    <row r="4">
      <c r="A4" s="12" t="inlineStr">
        <is>
          <t>EMP-0003</t>
        </is>
      </c>
      <c r="B4" s="12" t="inlineStr">
        <is>
          <t>Jorge Garcia</t>
        </is>
      </c>
      <c r="C4" s="12" t="inlineStr">
        <is>
          <t>Jefe de Talento Humano</t>
        </is>
      </c>
      <c r="D4" s="12" t="inlineStr">
        <is>
          <t>Comercial</t>
        </is>
      </c>
      <c r="E4" s="4" t="n">
        <v>1750905</v>
      </c>
      <c r="F4" s="12" t="inlineStr">
        <is>
          <t>Fijo</t>
        </is>
      </c>
      <c r="G4" s="12" t="n">
        <v>240</v>
      </c>
      <c r="H4" s="6" t="n">
        <v>45289</v>
      </c>
      <c r="I4" s="12" t="inlineStr">
        <is>
          <t>Compensar</t>
        </is>
      </c>
      <c r="J4" s="12" t="inlineStr">
        <is>
          <t>Colfondos</t>
        </is>
      </c>
      <c r="K4" s="12" t="inlineStr">
        <is>
          <t>Cali</t>
        </is>
      </c>
      <c r="L4" s="12" t="inlineStr">
        <is>
          <t>Si</t>
        </is>
      </c>
      <c r="M4" s="12" t="n"/>
    </row>
    <row r="5">
      <c r="A5" s="12" t="inlineStr">
        <is>
          <t>EMP-0004</t>
        </is>
      </c>
      <c r="B5" s="12" t="inlineStr">
        <is>
          <t>Ana Jimenez</t>
        </is>
      </c>
      <c r="C5" s="12" t="inlineStr">
        <is>
          <t>Asistente Administrativo</t>
        </is>
      </c>
      <c r="D5" s="12" t="inlineStr">
        <is>
          <t>Finanzas</t>
        </is>
      </c>
      <c r="E5" s="4" t="n">
        <v>1750905</v>
      </c>
      <c r="F5" s="12" t="inlineStr">
        <is>
          <t>Indefinido</t>
        </is>
      </c>
      <c r="G5" s="12" t="n">
        <v>240</v>
      </c>
      <c r="H5" s="6" t="n">
        <v>45971</v>
      </c>
      <c r="I5" s="12" t="inlineStr">
        <is>
          <t>Compensar</t>
        </is>
      </c>
      <c r="J5" s="12" t="inlineStr">
        <is>
          <t>Colfondos</t>
        </is>
      </c>
      <c r="K5" s="12" t="inlineStr">
        <is>
          <t>Cali</t>
        </is>
      </c>
      <c r="L5" s="12" t="inlineStr">
        <is>
          <t>Si</t>
        </is>
      </c>
      <c r="M5" s="12" t="n"/>
    </row>
    <row r="6">
      <c r="A6" s="12" t="inlineStr">
        <is>
          <t>EMP-0005</t>
        </is>
      </c>
      <c r="B6" s="12" t="inlineStr">
        <is>
          <t>David Moreno</t>
        </is>
      </c>
      <c r="C6" s="12" t="inlineStr">
        <is>
          <t>Desarrollador Junior</t>
        </is>
      </c>
      <c r="D6" s="12" t="inlineStr">
        <is>
          <t>Operaciones</t>
        </is>
      </c>
      <c r="E6" s="4" t="n">
        <v>1750905</v>
      </c>
      <c r="F6" s="12" t="inlineStr">
        <is>
          <t>Fijo</t>
        </is>
      </c>
      <c r="G6" s="12" t="n">
        <v>240</v>
      </c>
      <c r="H6" s="6" t="n">
        <v>44106</v>
      </c>
      <c r="I6" s="12" t="inlineStr">
        <is>
          <t>Famisanar</t>
        </is>
      </c>
      <c r="J6" s="12" t="inlineStr">
        <is>
          <t>Proteccion</t>
        </is>
      </c>
      <c r="K6" s="12" t="inlineStr">
        <is>
          <t>Cali</t>
        </is>
      </c>
      <c r="L6" s="12" t="inlineStr">
        <is>
          <t>Si</t>
        </is>
      </c>
      <c r="M6" s="12" t="n"/>
    </row>
    <row r="7">
      <c r="A7" s="12" t="inlineStr">
        <is>
          <t>EMP-0006</t>
        </is>
      </c>
      <c r="B7" s="12" t="inlineStr">
        <is>
          <t>Juan Sanchez</t>
        </is>
      </c>
      <c r="C7" s="12" t="inlineStr">
        <is>
          <t>Contador</t>
        </is>
      </c>
      <c r="D7" s="12" t="inlineStr">
        <is>
          <t>Tecnologia</t>
        </is>
      </c>
      <c r="E7" s="4" t="n">
        <v>4940000</v>
      </c>
      <c r="F7" s="12" t="inlineStr">
        <is>
          <t>Indefinido</t>
        </is>
      </c>
      <c r="G7" s="12" t="n">
        <v>240</v>
      </c>
      <c r="H7" s="6" t="n">
        <v>43663</v>
      </c>
      <c r="I7" s="12" t="inlineStr">
        <is>
          <t>Sura</t>
        </is>
      </c>
      <c r="J7" s="12" t="inlineStr">
        <is>
          <t>Colfondos</t>
        </is>
      </c>
      <c r="K7" s="12" t="inlineStr">
        <is>
          <t>Barranquilla</t>
        </is>
      </c>
      <c r="L7" s="12" t="inlineStr">
        <is>
          <t>Si</t>
        </is>
      </c>
      <c r="M7" s="12" t="n"/>
    </row>
    <row r="8">
      <c r="A8" s="12" t="inlineStr">
        <is>
          <t>EMP-0007</t>
        </is>
      </c>
      <c r="B8" s="12" t="inlineStr">
        <is>
          <t>Nicolas Diaz</t>
        </is>
      </c>
      <c r="C8" s="12" t="inlineStr">
        <is>
          <t>Contador</t>
        </is>
      </c>
      <c r="D8" s="12" t="inlineStr">
        <is>
          <t>Administracion</t>
        </is>
      </c>
      <c r="E8" s="4" t="n">
        <v>5720000</v>
      </c>
      <c r="F8" s="12" t="inlineStr">
        <is>
          <t>Aprendizaje</t>
        </is>
      </c>
      <c r="G8" s="12" t="n">
        <v>240</v>
      </c>
      <c r="H8" s="6" t="n">
        <v>45940</v>
      </c>
      <c r="I8" s="12" t="inlineStr">
        <is>
          <t>Nueva EPS</t>
        </is>
      </c>
      <c r="J8" s="12" t="inlineStr">
        <is>
          <t>Colpensiones</t>
        </is>
      </c>
      <c r="K8" s="12" t="inlineStr">
        <is>
          <t>Medellin</t>
        </is>
      </c>
      <c r="L8" s="12" t="inlineStr">
        <is>
          <t>Si</t>
        </is>
      </c>
      <c r="M8" s="12" t="n"/>
    </row>
    <row r="9">
      <c r="A9" s="12" t="inlineStr">
        <is>
          <t>EMP-0008</t>
        </is>
      </c>
      <c r="B9" s="12" t="inlineStr">
        <is>
          <t>Diego Castro</t>
        </is>
      </c>
      <c r="C9" s="12" t="inlineStr">
        <is>
          <t>Supervisor de Planta</t>
        </is>
      </c>
      <c r="D9" s="12" t="inlineStr">
        <is>
          <t>Tecnologia</t>
        </is>
      </c>
      <c r="E9" s="4" t="n">
        <v>3600000</v>
      </c>
      <c r="F9" s="12" t="inlineStr">
        <is>
          <t>Obra labor</t>
        </is>
      </c>
      <c r="G9" s="12" t="n">
        <v>240</v>
      </c>
      <c r="H9" s="6" t="n">
        <v>44279</v>
      </c>
      <c r="I9" s="12" t="inlineStr">
        <is>
          <t>Salud Total</t>
        </is>
      </c>
      <c r="J9" s="12" t="inlineStr">
        <is>
          <t>Skandia</t>
        </is>
      </c>
      <c r="K9" s="12" t="inlineStr">
        <is>
          <t>Cali</t>
        </is>
      </c>
      <c r="L9" s="12" t="inlineStr">
        <is>
          <t>Si</t>
        </is>
      </c>
      <c r="M9" s="12" t="n"/>
    </row>
    <row r="10">
      <c r="A10" s="12" t="inlineStr">
        <is>
          <t>EMP-0009</t>
        </is>
      </c>
      <c r="B10" s="12" t="inlineStr">
        <is>
          <t>Isabella Diaz</t>
        </is>
      </c>
      <c r="C10" s="12" t="inlineStr">
        <is>
          <t>Coordinador Comercial</t>
        </is>
      </c>
      <c r="D10" s="12" t="inlineStr">
        <is>
          <t>Comercial</t>
        </is>
      </c>
      <c r="E10" s="4" t="n">
        <v>5400000</v>
      </c>
      <c r="F10" s="12" t="inlineStr">
        <is>
          <t>Indefinido</t>
        </is>
      </c>
      <c r="G10" s="12" t="n">
        <v>240</v>
      </c>
      <c r="H10" s="6" t="n">
        <v>45072</v>
      </c>
      <c r="I10" s="12" t="inlineStr">
        <is>
          <t>Salud Total</t>
        </is>
      </c>
      <c r="J10" s="12" t="inlineStr">
        <is>
          <t>Proteccion</t>
        </is>
      </c>
      <c r="K10" s="12" t="inlineStr">
        <is>
          <t>Bogota</t>
        </is>
      </c>
      <c r="L10" s="12" t="inlineStr">
        <is>
          <t>Si</t>
        </is>
      </c>
      <c r="M10" s="12" t="n"/>
    </row>
    <row r="11">
      <c r="A11" s="12" t="inlineStr">
        <is>
          <t>EMP-0010</t>
        </is>
      </c>
      <c r="B11" s="12" t="inlineStr">
        <is>
          <t>Miguel Torres</t>
        </is>
      </c>
      <c r="C11" s="12" t="inlineStr">
        <is>
          <t>Desarrollador Junior</t>
        </is>
      </c>
      <c r="D11" s="12" t="inlineStr">
        <is>
          <t>Operaciones</t>
        </is>
      </c>
      <c r="E11" s="4" t="n">
        <v>3800000</v>
      </c>
      <c r="F11" s="12" t="inlineStr">
        <is>
          <t>Fijo</t>
        </is>
      </c>
      <c r="G11" s="12" t="n">
        <v>240</v>
      </c>
      <c r="H11" s="6" t="n">
        <v>45213</v>
      </c>
      <c r="I11" s="12" t="inlineStr">
        <is>
          <t>Compensar</t>
        </is>
      </c>
      <c r="J11" s="12" t="inlineStr">
        <is>
          <t>Colpensiones</t>
        </is>
      </c>
      <c r="K11" s="12" t="inlineStr">
        <is>
          <t>Medellin</t>
        </is>
      </c>
      <c r="L11" s="12" t="inlineStr">
        <is>
          <t>Si</t>
        </is>
      </c>
      <c r="M11" s="12" t="n"/>
    </row>
    <row r="12">
      <c r="A12" s="12" t="inlineStr">
        <is>
          <t>EMP-0011</t>
        </is>
      </c>
      <c r="B12" s="12" t="inlineStr">
        <is>
          <t>Sebastian Diaz</t>
        </is>
      </c>
      <c r="C12" s="12" t="inlineStr">
        <is>
          <t>Vendedor</t>
        </is>
      </c>
      <c r="D12" s="12" t="inlineStr">
        <is>
          <t>Talento Humano</t>
        </is>
      </c>
      <c r="E12" s="4" t="n">
        <v>2185000</v>
      </c>
      <c r="F12" s="12" t="inlineStr">
        <is>
          <t>Fijo</t>
        </is>
      </c>
      <c r="G12" s="12" t="n">
        <v>240</v>
      </c>
      <c r="H12" s="6" t="n">
        <v>45733</v>
      </c>
      <c r="I12" s="12" t="inlineStr">
        <is>
          <t>Compensar</t>
        </is>
      </c>
      <c r="J12" s="12" t="inlineStr">
        <is>
          <t>Colfondos</t>
        </is>
      </c>
      <c r="K12" s="12" t="inlineStr">
        <is>
          <t>Cali</t>
        </is>
      </c>
      <c r="L12" s="12" t="inlineStr">
        <is>
          <t>Si</t>
        </is>
      </c>
      <c r="M12" s="12" t="n"/>
    </row>
    <row r="13">
      <c r="A13" s="12" t="inlineStr">
        <is>
          <t>EMP-0012</t>
        </is>
      </c>
      <c r="B13" s="12" t="inlineStr">
        <is>
          <t>Paula Martinez</t>
        </is>
      </c>
      <c r="C13" s="12" t="inlineStr">
        <is>
          <t>Desarrollador Senior</t>
        </is>
      </c>
      <c r="D13" s="12" t="inlineStr">
        <is>
          <t>Talento Humano</t>
        </is>
      </c>
      <c r="E13" s="4" t="n">
        <v>8075000</v>
      </c>
      <c r="F13" s="12" t="inlineStr">
        <is>
          <t>Fijo</t>
        </is>
      </c>
      <c r="G13" s="12" t="n">
        <v>240</v>
      </c>
      <c r="H13" s="6" t="n">
        <v>44837</v>
      </c>
      <c r="I13" s="12" t="inlineStr">
        <is>
          <t>Nueva EPS</t>
        </is>
      </c>
      <c r="J13" s="12" t="inlineStr">
        <is>
          <t>Porvenir</t>
        </is>
      </c>
      <c r="K13" s="12" t="inlineStr">
        <is>
          <t>Barranquilla</t>
        </is>
      </c>
      <c r="L13" s="12" t="inlineStr">
        <is>
          <t>Si</t>
        </is>
      </c>
      <c r="M13" s="12" t="n"/>
    </row>
    <row r="14">
      <c r="A14" s="12" t="inlineStr">
        <is>
          <t>EMP-0013</t>
        </is>
      </c>
      <c r="B14" s="12" t="inlineStr">
        <is>
          <t>Diego Moreno</t>
        </is>
      </c>
      <c r="C14" s="12" t="inlineStr">
        <is>
          <t>Auxiliar Operativo</t>
        </is>
      </c>
      <c r="D14" s="12" t="inlineStr">
        <is>
          <t>Tecnologia</t>
        </is>
      </c>
      <c r="E14" s="4" t="n">
        <v>1838450</v>
      </c>
      <c r="F14" s="12" t="inlineStr">
        <is>
          <t>Obra labor</t>
        </is>
      </c>
      <c r="G14" s="12" t="n">
        <v>240</v>
      </c>
      <c r="H14" s="6" t="n">
        <v>43217</v>
      </c>
      <c r="I14" s="12" t="inlineStr">
        <is>
          <t>Sanitas</t>
        </is>
      </c>
      <c r="J14" s="12" t="inlineStr">
        <is>
          <t>Colpensiones</t>
        </is>
      </c>
      <c r="K14" s="12" t="inlineStr">
        <is>
          <t>Bogota</t>
        </is>
      </c>
      <c r="L14" s="12" t="inlineStr">
        <is>
          <t>Si</t>
        </is>
      </c>
      <c r="M14" s="12" t="n"/>
    </row>
    <row r="15">
      <c r="A15" s="12" t="inlineStr">
        <is>
          <t>EMP-0014</t>
        </is>
      </c>
      <c r="B15" s="12" t="inlineStr">
        <is>
          <t>Manuela Torres</t>
        </is>
      </c>
      <c r="C15" s="12" t="inlineStr">
        <is>
          <t>Vendedor</t>
        </is>
      </c>
      <c r="D15" s="12" t="inlineStr">
        <is>
          <t>Finanzas</t>
        </is>
      </c>
      <c r="E15" s="4" t="n">
        <v>2760000</v>
      </c>
      <c r="F15" s="12" t="inlineStr">
        <is>
          <t>Fijo</t>
        </is>
      </c>
      <c r="G15" s="12" t="n">
        <v>240</v>
      </c>
      <c r="H15" s="6" t="n">
        <v>44470</v>
      </c>
      <c r="I15" s="12" t="inlineStr">
        <is>
          <t>Salud Total</t>
        </is>
      </c>
      <c r="J15" s="12" t="inlineStr">
        <is>
          <t>Proteccion</t>
        </is>
      </c>
      <c r="K15" s="12" t="inlineStr">
        <is>
          <t>Cali</t>
        </is>
      </c>
      <c r="L15" s="12" t="inlineStr">
        <is>
          <t>Si</t>
        </is>
      </c>
      <c r="M15" s="12" t="n"/>
    </row>
    <row r="16">
      <c r="A16" s="12" t="inlineStr">
        <is>
          <t>EMP-0015</t>
        </is>
      </c>
      <c r="B16" s="12" t="inlineStr">
        <is>
          <t>Mariana Lopez</t>
        </is>
      </c>
      <c r="C16" s="12" t="inlineStr">
        <is>
          <t>Contador</t>
        </is>
      </c>
      <c r="D16" s="12" t="inlineStr">
        <is>
          <t>Finanzas</t>
        </is>
      </c>
      <c r="E16" s="4" t="n">
        <v>4940000</v>
      </c>
      <c r="F16" s="12" t="inlineStr">
        <is>
          <t>Indefinido</t>
        </is>
      </c>
      <c r="G16" s="12" t="n">
        <v>240</v>
      </c>
      <c r="H16" s="6" t="n">
        <v>45596</v>
      </c>
      <c r="I16" s="12" t="inlineStr">
        <is>
          <t>Sura</t>
        </is>
      </c>
      <c r="J16" s="12" t="inlineStr">
        <is>
          <t>Colfondos</t>
        </is>
      </c>
      <c r="K16" s="12" t="inlineStr">
        <is>
          <t>Barranquilla</t>
        </is>
      </c>
      <c r="L16" s="12" t="inlineStr">
        <is>
          <t>Si</t>
        </is>
      </c>
      <c r="M16" s="12" t="n"/>
    </row>
    <row r="17">
      <c r="A17" s="12" t="inlineStr">
        <is>
          <t>EMP-0016</t>
        </is>
      </c>
      <c r="B17" s="12" t="inlineStr">
        <is>
          <t>Laura Rojas</t>
        </is>
      </c>
      <c r="C17" s="12" t="inlineStr">
        <is>
          <t>Coordinador Comercial</t>
        </is>
      </c>
      <c r="D17" s="12" t="inlineStr">
        <is>
          <t>Operaciones</t>
        </is>
      </c>
      <c r="E17" s="4" t="n">
        <v>4275000</v>
      </c>
      <c r="F17" s="12" t="inlineStr">
        <is>
          <t>Indefinido</t>
        </is>
      </c>
      <c r="G17" s="12" t="n">
        <v>240</v>
      </c>
      <c r="H17" s="6" t="n">
        <v>44710</v>
      </c>
      <c r="I17" s="12" t="inlineStr">
        <is>
          <t>Sanitas</t>
        </is>
      </c>
      <c r="J17" s="12" t="inlineStr">
        <is>
          <t>Colpensiones</t>
        </is>
      </c>
      <c r="K17" s="12" t="inlineStr">
        <is>
          <t>Barranquilla</t>
        </is>
      </c>
      <c r="L17" s="12" t="inlineStr">
        <is>
          <t>Si</t>
        </is>
      </c>
      <c r="M17" s="12" t="n"/>
    </row>
    <row r="18">
      <c r="A18" s="12" t="inlineStr">
        <is>
          <t>EMP-0017</t>
        </is>
      </c>
      <c r="B18" s="12" t="inlineStr">
        <is>
          <t>Camila Jimenez</t>
        </is>
      </c>
      <c r="C18" s="12" t="inlineStr">
        <is>
          <t>Vendedor</t>
        </is>
      </c>
      <c r="D18" s="12" t="inlineStr">
        <is>
          <t>Operaciones</t>
        </is>
      </c>
      <c r="E18" s="4" t="n">
        <v>2415000</v>
      </c>
      <c r="F18" s="12" t="inlineStr">
        <is>
          <t>Aprendizaje</t>
        </is>
      </c>
      <c r="G18" s="12" t="n">
        <v>240</v>
      </c>
      <c r="H18" s="6" t="n">
        <v>44747</v>
      </c>
      <c r="I18" s="12" t="inlineStr">
        <is>
          <t>Nueva EPS</t>
        </is>
      </c>
      <c r="J18" s="12" t="inlineStr">
        <is>
          <t>Colfondos</t>
        </is>
      </c>
      <c r="K18" s="12" t="inlineStr">
        <is>
          <t>Cali</t>
        </is>
      </c>
      <c r="L18" s="12" t="inlineStr">
        <is>
          <t>Si</t>
        </is>
      </c>
      <c r="M18" s="12" t="n"/>
    </row>
    <row r="19">
      <c r="A19" s="12" t="inlineStr">
        <is>
          <t>EMP-0018</t>
        </is>
      </c>
      <c r="B19" s="12" t="inlineStr">
        <is>
          <t>Ana Gomez</t>
        </is>
      </c>
      <c r="C19" s="12" t="inlineStr">
        <is>
          <t>Auxiliar Operativo</t>
        </is>
      </c>
      <c r="D19" s="12" t="inlineStr">
        <is>
          <t>Tecnologia</t>
        </is>
      </c>
      <c r="E19" s="4" t="n">
        <v>2101086</v>
      </c>
      <c r="F19" s="12" t="inlineStr">
        <is>
          <t>Fijo</t>
        </is>
      </c>
      <c r="G19" s="12" t="n">
        <v>240</v>
      </c>
      <c r="H19" s="6" t="n">
        <v>43562</v>
      </c>
      <c r="I19" s="12" t="inlineStr">
        <is>
          <t>Nueva EPS</t>
        </is>
      </c>
      <c r="J19" s="12" t="inlineStr">
        <is>
          <t>Proteccion</t>
        </is>
      </c>
      <c r="K19" s="12" t="inlineStr">
        <is>
          <t>Cali</t>
        </is>
      </c>
      <c r="L19" s="12" t="inlineStr">
        <is>
          <t>Si</t>
        </is>
      </c>
      <c r="M19" s="12" t="n"/>
    </row>
    <row r="20">
      <c r="A20" s="12" t="inlineStr">
        <is>
          <t>EMP-0019</t>
        </is>
      </c>
      <c r="B20" s="12" t="inlineStr">
        <is>
          <t>Jorge Vargas</t>
        </is>
      </c>
      <c r="C20" s="12" t="inlineStr">
        <is>
          <t>Supervisor de Planta</t>
        </is>
      </c>
      <c r="D20" s="12" t="inlineStr">
        <is>
          <t>Comercial</t>
        </is>
      </c>
      <c r="E20" s="4" t="n">
        <v>3780000</v>
      </c>
      <c r="F20" s="12" t="inlineStr">
        <is>
          <t>Fijo</t>
        </is>
      </c>
      <c r="G20" s="12" t="n">
        <v>240</v>
      </c>
      <c r="H20" s="6" t="n">
        <v>46017</v>
      </c>
      <c r="I20" s="12" t="inlineStr">
        <is>
          <t>Sanitas</t>
        </is>
      </c>
      <c r="J20" s="12" t="inlineStr">
        <is>
          <t>Colfondos</t>
        </is>
      </c>
      <c r="K20" s="12" t="inlineStr">
        <is>
          <t>Cali</t>
        </is>
      </c>
      <c r="L20" s="12" t="inlineStr">
        <is>
          <t>Si</t>
        </is>
      </c>
      <c r="M20" s="12" t="n"/>
    </row>
    <row r="21">
      <c r="A21" s="12" t="inlineStr">
        <is>
          <t>EMP-0020</t>
        </is>
      </c>
      <c r="B21" s="12" t="inlineStr">
        <is>
          <t>Natalia Garcia</t>
        </is>
      </c>
      <c r="C21" s="12" t="inlineStr">
        <is>
          <t>Jefe de Talento Humano</t>
        </is>
      </c>
      <c r="D21" s="12" t="inlineStr">
        <is>
          <t>Talento Humano</t>
        </is>
      </c>
      <c r="E21" s="4" t="n">
        <v>8580000</v>
      </c>
      <c r="F21" s="12" t="inlineStr">
        <is>
          <t>Fijo</t>
        </is>
      </c>
      <c r="G21" s="12" t="n">
        <v>240</v>
      </c>
      <c r="H21" s="6" t="n">
        <v>45861</v>
      </c>
      <c r="I21" s="12" t="inlineStr">
        <is>
          <t>Compensar</t>
        </is>
      </c>
      <c r="J21" s="12" t="inlineStr">
        <is>
          <t>Proteccion</t>
        </is>
      </c>
      <c r="K21" s="12" t="inlineStr">
        <is>
          <t>Barranquilla</t>
        </is>
      </c>
      <c r="L21" s="12" t="inlineStr">
        <is>
          <t>Si</t>
        </is>
      </c>
      <c r="M21" s="12" t="n"/>
    </row>
    <row r="22">
      <c r="A22" s="12" t="inlineStr">
        <is>
          <t>EMP-0021</t>
        </is>
      </c>
      <c r="B22" s="12" t="inlineStr">
        <is>
          <t>Jorge Gomez</t>
        </is>
      </c>
      <c r="C22" s="12" t="inlineStr">
        <is>
          <t>Coordinador Comercial</t>
        </is>
      </c>
      <c r="D22" s="12" t="inlineStr">
        <is>
          <t>Talento Humano</t>
        </is>
      </c>
      <c r="E22" s="4" t="n">
        <v>4275000</v>
      </c>
      <c r="F22" s="12" t="inlineStr">
        <is>
          <t>Fijo</t>
        </is>
      </c>
      <c r="G22" s="12" t="n">
        <v>240</v>
      </c>
      <c r="H22" s="6" t="n">
        <v>44434</v>
      </c>
      <c r="I22" s="12" t="inlineStr">
        <is>
          <t>Sanitas</t>
        </is>
      </c>
      <c r="J22" s="12" t="inlineStr">
        <is>
          <t>Proteccion</t>
        </is>
      </c>
      <c r="K22" s="12" t="inlineStr">
        <is>
          <t>Cali</t>
        </is>
      </c>
      <c r="L22" s="12" t="inlineStr">
        <is>
          <t>Si</t>
        </is>
      </c>
      <c r="M22" s="12" t="n"/>
    </row>
    <row r="23">
      <c r="A23" s="12" t="inlineStr">
        <is>
          <t>EMP-0022</t>
        </is>
      </c>
      <c r="B23" s="12" t="inlineStr">
        <is>
          <t>Paula Ramirez</t>
        </is>
      </c>
      <c r="C23" s="12" t="inlineStr">
        <is>
          <t>Desarrollador Junior</t>
        </is>
      </c>
      <c r="D23" s="12" t="inlineStr">
        <is>
          <t>Tecnologia</t>
        </is>
      </c>
      <c r="E23" s="4" t="n">
        <v>4180000</v>
      </c>
      <c r="F23" s="12" t="inlineStr">
        <is>
          <t>Aprendizaje</t>
        </is>
      </c>
      <c r="G23" s="12" t="n">
        <v>240</v>
      </c>
      <c r="H23" s="6" t="n">
        <v>44930</v>
      </c>
      <c r="I23" s="12" t="inlineStr">
        <is>
          <t>Sanitas</t>
        </is>
      </c>
      <c r="J23" s="12" t="inlineStr">
        <is>
          <t>Skandia</t>
        </is>
      </c>
      <c r="K23" s="12" t="inlineStr">
        <is>
          <t>Bogota</t>
        </is>
      </c>
      <c r="L23" s="12" t="inlineStr">
        <is>
          <t>Si</t>
        </is>
      </c>
      <c r="M23" s="12" t="n"/>
    </row>
    <row r="24">
      <c r="A24" s="12" t="inlineStr">
        <is>
          <t>EMP-0023</t>
        </is>
      </c>
      <c r="B24" s="12" t="inlineStr">
        <is>
          <t>Ana Garcia</t>
        </is>
      </c>
      <c r="C24" s="12" t="inlineStr">
        <is>
          <t>Vendedor</t>
        </is>
      </c>
      <c r="D24" s="12" t="inlineStr">
        <is>
          <t>Talento Humano</t>
        </is>
      </c>
      <c r="E24" s="4" t="n">
        <v>2530000</v>
      </c>
      <c r="F24" s="12" t="inlineStr">
        <is>
          <t>Aprendizaje</t>
        </is>
      </c>
      <c r="G24" s="12" t="n">
        <v>240</v>
      </c>
      <c r="H24" s="6" t="n">
        <v>44028</v>
      </c>
      <c r="I24" s="12" t="inlineStr">
        <is>
          <t>Nueva EPS</t>
        </is>
      </c>
      <c r="J24" s="12" t="inlineStr">
        <is>
          <t>Colpensiones</t>
        </is>
      </c>
      <c r="K24" s="12" t="inlineStr">
        <is>
          <t>Medellin</t>
        </is>
      </c>
      <c r="L24" s="12" t="inlineStr">
        <is>
          <t>Si</t>
        </is>
      </c>
      <c r="M24" s="12" t="n"/>
    </row>
    <row r="25">
      <c r="A25" s="12" t="inlineStr">
        <is>
          <t>EMP-0024</t>
        </is>
      </c>
      <c r="B25" s="12" t="inlineStr">
        <is>
          <t>Laura Sanchez</t>
        </is>
      </c>
      <c r="C25" s="12" t="inlineStr">
        <is>
          <t>Vendedor</t>
        </is>
      </c>
      <c r="D25" s="12" t="inlineStr">
        <is>
          <t>Administracion</t>
        </is>
      </c>
      <c r="E25" s="4" t="n">
        <v>2300000</v>
      </c>
      <c r="F25" s="12" t="inlineStr">
        <is>
          <t>Obra labor</t>
        </is>
      </c>
      <c r="G25" s="12" t="n">
        <v>240</v>
      </c>
      <c r="H25" s="6" t="n">
        <v>43681</v>
      </c>
      <c r="I25" s="12" t="inlineStr">
        <is>
          <t>Sanitas</t>
        </is>
      </c>
      <c r="J25" s="12" t="inlineStr">
        <is>
          <t>Skandia</t>
        </is>
      </c>
      <c r="K25" s="12" t="inlineStr">
        <is>
          <t>Bogota</t>
        </is>
      </c>
      <c r="L25" s="12" t="inlineStr">
        <is>
          <t>Si</t>
        </is>
      </c>
      <c r="M25" s="12" t="n"/>
    </row>
    <row r="26">
      <c r="A26" s="12" t="inlineStr">
        <is>
          <t>EMP-0025</t>
        </is>
      </c>
      <c r="B26" s="12" t="inlineStr">
        <is>
          <t>Miguel Castro</t>
        </is>
      </c>
      <c r="C26" s="12" t="inlineStr">
        <is>
          <t>Jefe de Talento Humano</t>
        </is>
      </c>
      <c r="D26" s="12" t="inlineStr">
        <is>
          <t>Comercial</t>
        </is>
      </c>
      <c r="E26" s="4" t="n">
        <v>7800000</v>
      </c>
      <c r="F26" s="12" t="inlineStr">
        <is>
          <t>Fijo</t>
        </is>
      </c>
      <c r="G26" s="12" t="n">
        <v>240</v>
      </c>
      <c r="H26" s="6" t="n">
        <v>45970</v>
      </c>
      <c r="I26" s="12" t="inlineStr">
        <is>
          <t>Famisanar</t>
        </is>
      </c>
      <c r="J26" s="12" t="inlineStr">
        <is>
          <t>Porvenir</t>
        </is>
      </c>
      <c r="K26" s="12" t="inlineStr">
        <is>
          <t>Medellin</t>
        </is>
      </c>
      <c r="L26" s="12" t="inlineStr">
        <is>
          <t>Si</t>
        </is>
      </c>
      <c r="M26" s="12" t="n"/>
    </row>
    <row r="27">
      <c r="A27" s="12" t="inlineStr">
        <is>
          <t>EMP-0026</t>
        </is>
      </c>
      <c r="B27" s="12" t="inlineStr">
        <is>
          <t>Daniel Vargas</t>
        </is>
      </c>
      <c r="C27" s="12" t="inlineStr">
        <is>
          <t>Coordinador Comercial</t>
        </is>
      </c>
      <c r="D27" s="12" t="inlineStr">
        <is>
          <t>Operaciones</t>
        </is>
      </c>
      <c r="E27" s="4" t="n">
        <v>4950000</v>
      </c>
      <c r="F27" s="12" t="inlineStr">
        <is>
          <t>Obra labor</t>
        </is>
      </c>
      <c r="G27" s="12" t="n">
        <v>240</v>
      </c>
      <c r="H27" s="6" t="n">
        <v>45944</v>
      </c>
      <c r="I27" s="12" t="inlineStr">
        <is>
          <t>Sura</t>
        </is>
      </c>
      <c r="J27" s="12" t="inlineStr">
        <is>
          <t>Colfondos</t>
        </is>
      </c>
      <c r="K27" s="12" t="inlineStr">
        <is>
          <t>Medellin</t>
        </is>
      </c>
      <c r="L27" s="12" t="inlineStr">
        <is>
          <t>Si</t>
        </is>
      </c>
      <c r="M27" s="12" t="n"/>
    </row>
    <row r="28">
      <c r="A28" s="12" t="inlineStr">
        <is>
          <t>EMP-0027</t>
        </is>
      </c>
      <c r="B28" s="12" t="inlineStr">
        <is>
          <t>Camila Perez</t>
        </is>
      </c>
      <c r="C28" s="12" t="inlineStr">
        <is>
          <t>Auxiliar Operativo</t>
        </is>
      </c>
      <c r="D28" s="12" t="inlineStr">
        <is>
          <t>Comercial</t>
        </is>
      </c>
      <c r="E28" s="4" t="n">
        <v>1750905</v>
      </c>
      <c r="F28" s="12" t="inlineStr">
        <is>
          <t>Obra labor</t>
        </is>
      </c>
      <c r="G28" s="12" t="n">
        <v>240</v>
      </c>
      <c r="H28" s="6" t="n">
        <v>45613</v>
      </c>
      <c r="I28" s="12" t="inlineStr">
        <is>
          <t>Nueva EPS</t>
        </is>
      </c>
      <c r="J28" s="12" t="inlineStr">
        <is>
          <t>Skandia</t>
        </is>
      </c>
      <c r="K28" s="12" t="inlineStr">
        <is>
          <t>Bogota</t>
        </is>
      </c>
      <c r="L28" s="12" t="inlineStr">
        <is>
          <t>Si</t>
        </is>
      </c>
      <c r="M28" s="12" t="n"/>
    </row>
    <row r="29">
      <c r="A29" s="12" t="inlineStr">
        <is>
          <t>EMP-0028</t>
        </is>
      </c>
      <c r="B29" s="12" t="inlineStr">
        <is>
          <t>Manuela Diaz</t>
        </is>
      </c>
      <c r="C29" s="12" t="inlineStr">
        <is>
          <t>Contador</t>
        </is>
      </c>
      <c r="D29" s="12" t="inlineStr">
        <is>
          <t>Tecnologia</t>
        </is>
      </c>
      <c r="E29" s="4" t="n">
        <v>5200000</v>
      </c>
      <c r="F29" s="12" t="inlineStr">
        <is>
          <t>Indefinido</t>
        </is>
      </c>
      <c r="G29" s="12" t="n">
        <v>240</v>
      </c>
      <c r="H29" s="6" t="n">
        <v>45286</v>
      </c>
      <c r="I29" s="12" t="inlineStr">
        <is>
          <t>Famisanar</t>
        </is>
      </c>
      <c r="J29" s="12" t="inlineStr">
        <is>
          <t>Skandia</t>
        </is>
      </c>
      <c r="K29" s="12" t="inlineStr">
        <is>
          <t>Medellin</t>
        </is>
      </c>
      <c r="L29" s="12" t="inlineStr">
        <is>
          <t>Si</t>
        </is>
      </c>
      <c r="M29" s="12" t="n"/>
    </row>
    <row r="30">
      <c r="A30" s="12" t="inlineStr">
        <is>
          <t>EMP-0029</t>
        </is>
      </c>
      <c r="B30" s="12" t="inlineStr">
        <is>
          <t>Natalia Lopez</t>
        </is>
      </c>
      <c r="C30" s="12" t="inlineStr">
        <is>
          <t>Analista de Nomina</t>
        </is>
      </c>
      <c r="D30" s="12" t="inlineStr">
        <is>
          <t>Finanzas</t>
        </is>
      </c>
      <c r="E30" s="4" t="n">
        <v>3360000</v>
      </c>
      <c r="F30" s="12" t="inlineStr">
        <is>
          <t>Fijo</t>
        </is>
      </c>
      <c r="G30" s="12" t="n">
        <v>240</v>
      </c>
      <c r="H30" s="6" t="n">
        <v>44006</v>
      </c>
      <c r="I30" s="12" t="inlineStr">
        <is>
          <t>Nueva EPS</t>
        </is>
      </c>
      <c r="J30" s="12" t="inlineStr">
        <is>
          <t>Porvenir</t>
        </is>
      </c>
      <c r="K30" s="12" t="inlineStr">
        <is>
          <t>Cali</t>
        </is>
      </c>
      <c r="L30" s="12" t="inlineStr">
        <is>
          <t>Si</t>
        </is>
      </c>
      <c r="M30" s="12" t="n"/>
    </row>
    <row r="31">
      <c r="A31" s="12" t="inlineStr">
        <is>
          <t>EMP-0030</t>
        </is>
      </c>
      <c r="B31" s="12" t="inlineStr">
        <is>
          <t>Isabella Lopez</t>
        </is>
      </c>
      <c r="C31" s="12" t="inlineStr">
        <is>
          <t>Vendedor</t>
        </is>
      </c>
      <c r="D31" s="12" t="inlineStr">
        <is>
          <t>Tecnologia</t>
        </is>
      </c>
      <c r="E31" s="4" t="n">
        <v>2760000</v>
      </c>
      <c r="F31" s="12" t="inlineStr">
        <is>
          <t>Fijo</t>
        </is>
      </c>
      <c r="G31" s="12" t="n">
        <v>240</v>
      </c>
      <c r="H31" s="6" t="n">
        <v>43663</v>
      </c>
      <c r="I31" s="12" t="inlineStr">
        <is>
          <t>Nueva EPS</t>
        </is>
      </c>
      <c r="J31" s="12" t="inlineStr">
        <is>
          <t>Porvenir</t>
        </is>
      </c>
      <c r="K31" s="12" t="inlineStr">
        <is>
          <t>Cali</t>
        </is>
      </c>
      <c r="L31" s="12" t="inlineStr">
        <is>
          <t>Si</t>
        </is>
      </c>
      <c r="M31" s="12" t="n"/>
    </row>
    <row r="32">
      <c r="A32" t="inlineStr">
        <is>
          <t>EMP-0031</t>
        </is>
      </c>
      <c r="B32" t="inlineStr">
        <is>
          <t>Sebastian Moreno</t>
        </is>
      </c>
      <c r="C32" t="inlineStr">
        <is>
          <t>Auxiliar Operativo</t>
        </is>
      </c>
      <c r="D32" t="inlineStr">
        <is>
          <t>Operaciones</t>
        </is>
      </c>
      <c r="E32" t="n">
        <v>1750905</v>
      </c>
      <c r="F32" t="inlineStr">
        <is>
          <t>Indefinido</t>
        </is>
      </c>
      <c r="G32" t="n">
        <v>240</v>
      </c>
      <c r="H32" s="13" t="n">
        <v>46168</v>
      </c>
      <c r="I32" t="inlineStr">
        <is>
          <t>Compensar</t>
        </is>
      </c>
      <c r="J32" t="inlineStr">
        <is>
          <t>Colfondos</t>
        </is>
      </c>
      <c r="K32" t="inlineStr">
        <is>
          <t>Bogota</t>
        </is>
      </c>
      <c r="L32" t="inlineStr">
        <is>
          <t>Si</t>
        </is>
      </c>
      <c r="M32" t="inlineStr">
        <is>
          <t>Creado desde Telegram</t>
        </is>
      </c>
    </row>
    <row r="33">
      <c r="A33" t="inlineStr">
        <is>
          <t>EMP-0032</t>
        </is>
      </c>
      <c r="B33" t="inlineStr">
        <is>
          <t>Carolina Hernandez</t>
        </is>
      </c>
      <c r="C33" t="inlineStr">
        <is>
          <t>Auxiliar Operativo</t>
        </is>
      </c>
      <c r="D33" t="inlineStr">
        <is>
          <t>Operaciones</t>
        </is>
      </c>
      <c r="E33" t="n">
        <v>1750905</v>
      </c>
      <c r="F33" t="inlineStr">
        <is>
          <t>Indefinido</t>
        </is>
      </c>
      <c r="G33" t="n">
        <v>240</v>
      </c>
      <c r="H33" s="13" t="n">
        <v>46168</v>
      </c>
      <c r="I33" t="inlineStr">
        <is>
          <t>Famisanar</t>
        </is>
      </c>
      <c r="J33" t="inlineStr">
        <is>
          <t>Proteccion</t>
        </is>
      </c>
      <c r="K33" t="inlineStr">
        <is>
          <t>Bogota</t>
        </is>
      </c>
      <c r="L33" t="inlineStr">
        <is>
          <t>Si</t>
        </is>
      </c>
      <c r="M33" t="inlineStr">
        <is>
          <t>Creado desde Telegram</t>
        </is>
      </c>
    </row>
    <row r="34">
      <c r="A34" t="inlineStr">
        <is>
          <t>EMP-0033</t>
        </is>
      </c>
      <c r="B34" t="inlineStr">
        <is>
          <t>Nicolas Rodriguez</t>
        </is>
      </c>
      <c r="C34" t="inlineStr">
        <is>
          <t>Auxiliar Operativo</t>
        </is>
      </c>
      <c r="D34" t="inlineStr">
        <is>
          <t>Administracion</t>
        </is>
      </c>
      <c r="E34" t="n">
        <v>1750905</v>
      </c>
      <c r="F34" t="inlineStr">
        <is>
          <t>Indefinido</t>
        </is>
      </c>
      <c r="G34" t="n">
        <v>240</v>
      </c>
      <c r="H34" s="13" t="n">
        <v>46168</v>
      </c>
      <c r="I34" t="inlineStr">
        <is>
          <t>Famisanar</t>
        </is>
      </c>
      <c r="J34" t="inlineStr">
        <is>
          <t>Proteccion</t>
        </is>
      </c>
      <c r="K34" t="inlineStr">
        <is>
          <t>Bogota</t>
        </is>
      </c>
      <c r="L34" t="inlineStr">
        <is>
          <t>Si</t>
        </is>
      </c>
      <c r="M34" t="inlineStr">
        <is>
          <t>Creado desde Telegram</t>
        </is>
      </c>
    </row>
    <row r="35">
      <c r="A35" t="inlineStr">
        <is>
          <t>EMP-0034</t>
        </is>
      </c>
      <c r="B35" t="inlineStr">
        <is>
          <t>Nicolas Perez</t>
        </is>
      </c>
      <c r="C35" t="inlineStr">
        <is>
          <t>Auxiliar Operativo</t>
        </is>
      </c>
      <c r="D35" t="inlineStr">
        <is>
          <t>Finanzas</t>
        </is>
      </c>
      <c r="E35" t="n">
        <v>1750905</v>
      </c>
      <c r="F35" t="inlineStr">
        <is>
          <t>Indefinido</t>
        </is>
      </c>
      <c r="G35" t="n">
        <v>240</v>
      </c>
      <c r="H35" s="13" t="n">
        <v>46168</v>
      </c>
      <c r="I35" t="inlineStr">
        <is>
          <t>Salud Total</t>
        </is>
      </c>
      <c r="J35" t="inlineStr">
        <is>
          <t>Colpensiones</t>
        </is>
      </c>
      <c r="K35" t="inlineStr">
        <is>
          <t>Bogota</t>
        </is>
      </c>
      <c r="L35" t="inlineStr">
        <is>
          <t>Si</t>
        </is>
      </c>
      <c r="M35" t="inlineStr">
        <is>
          <t>Creado desde Telegram</t>
        </is>
      </c>
    </row>
    <row r="36">
      <c r="A36" t="inlineStr">
        <is>
          <t>EMP-0035</t>
        </is>
      </c>
      <c r="B36" t="inlineStr">
        <is>
          <t>Andres Moreno</t>
        </is>
      </c>
      <c r="C36" t="inlineStr">
        <is>
          <t>Auxiliar Operativo</t>
        </is>
      </c>
      <c r="D36" t="inlineStr">
        <is>
          <t>Operaciones</t>
        </is>
      </c>
      <c r="E36" t="n">
        <v>1750905</v>
      </c>
      <c r="F36" t="inlineStr">
        <is>
          <t>Indefinido</t>
        </is>
      </c>
      <c r="G36" t="n">
        <v>240</v>
      </c>
      <c r="H36" s="13" t="n">
        <v>46168</v>
      </c>
      <c r="I36" t="inlineStr">
        <is>
          <t>Sanitas</t>
        </is>
      </c>
      <c r="J36" t="inlineStr">
        <is>
          <t>Proteccion</t>
        </is>
      </c>
      <c r="K36" t="inlineStr">
        <is>
          <t>Bogota</t>
        </is>
      </c>
      <c r="L36" t="inlineStr">
        <is>
          <t>Si</t>
        </is>
      </c>
      <c r="M36" t="inlineStr">
        <is>
          <t>Creado desde Telegram</t>
        </is>
      </c>
    </row>
  </sheetData>
  <conditionalFormatting sqref="M2:M500">
    <cfRule type="expression" priority="2" dxfId="1">
      <formula>LEN($M2)&gt;0</formula>
    </cfRule>
  </conditionalFormatting>
  <dataValidations count="4">
    <dataValidation sqref="F2:F500" showDropDown="0" showInputMessage="0" showErrorMessage="0" allowBlank="0" type="list">
      <formula1>"Indefinido,Fijo,Obra labor,Aprendizaje"</formula1>
    </dataValidation>
    <dataValidation sqref="I2:I500" showDropDown="0" showInputMessage="0" showErrorMessage="0" allowBlank="0" type="list">
      <formula1>"Sura,Sanitas,Compensar,Nueva EPS,Famisanar,Salud Total"</formula1>
    </dataValidation>
    <dataValidation sqref="J2:J500" showDropDown="0" showInputMessage="0" showErrorMessage="0" allowBlank="0" type="list">
      <formula1>"Porvenir,Proteccion,Colfondos,Skandia,Colpensiones"</formula1>
    </dataValidation>
    <dataValidation sqref="L2:L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2" customWidth="1" min="1" max="1"/>
    <col width="13" customWidth="1" min="2" max="2"/>
    <col width="16" customWidth="1" min="3" max="3"/>
    <col width="18" customWidth="1" min="4" max="4"/>
    <col width="20" customWidth="1" min="5" max="5"/>
    <col width="22" customWidth="1" min="6" max="7"/>
    <col width="17" customWidth="1" min="8" max="8"/>
    <col width="15" customWidth="1" min="9" max="9"/>
    <col width="19" customWidth="1" min="10" max="10"/>
    <col width="34" customWidth="1" min="11" max="11"/>
  </cols>
  <sheetData>
    <row r="1" ht="30" customHeight="1">
      <c r="A1" s="1" t="inlineStr">
        <is>
          <t>ID</t>
        </is>
      </c>
      <c r="B1" s="1" t="inlineStr">
        <is>
          <t>EmpleadoID</t>
        </is>
      </c>
      <c r="C1" s="1" t="inlineStr">
        <is>
          <t>HorasOrdinarias</t>
        </is>
      </c>
      <c r="D1" s="1" t="inlineStr">
        <is>
          <t>HorasExtraDiurnas</t>
        </is>
      </c>
      <c r="E1" s="1" t="inlineStr">
        <is>
          <t>HorasExtraNocturnas</t>
        </is>
      </c>
      <c r="F1" s="1" t="inlineStr">
        <is>
          <t>HorasRecargoNocturno</t>
        </is>
      </c>
      <c r="G1" s="1" t="inlineStr">
        <is>
          <t>HorasDominicalFestivo</t>
        </is>
      </c>
      <c r="H1" s="1" t="inlineStr">
        <is>
          <t>DiasNoTrabajados</t>
        </is>
      </c>
      <c r="I1" s="1" t="inlineStr">
        <is>
          <t>Bonificaciones</t>
        </is>
      </c>
      <c r="J1" s="1" t="inlineStr">
        <is>
          <t>PrestamosDescuentos</t>
        </is>
      </c>
      <c r="K1" s="1" t="inlineStr">
        <is>
          <t>Observacion</t>
        </is>
      </c>
    </row>
    <row r="2">
      <c r="A2" s="12" t="inlineStr">
        <is>
          <t>NOV-0001</t>
        </is>
      </c>
      <c r="B2" s="12" t="inlineStr">
        <is>
          <t>EMP-0001</t>
        </is>
      </c>
      <c r="C2" s="12" t="n">
        <v>224</v>
      </c>
      <c r="D2" s="12" t="n">
        <v>8</v>
      </c>
      <c r="E2" s="12" t="n">
        <v>4</v>
      </c>
      <c r="F2" s="12" t="n">
        <v>5</v>
      </c>
      <c r="G2" s="12" t="n">
        <v>8</v>
      </c>
      <c r="H2" s="12" t="n">
        <v>2</v>
      </c>
      <c r="I2" s="4" t="n">
        <v>300000</v>
      </c>
      <c r="J2" s="4" t="n">
        <v>0</v>
      </c>
      <c r="K2" s="12" t="n"/>
    </row>
    <row r="3">
      <c r="A3" s="12" t="inlineStr">
        <is>
          <t>NOV-0002</t>
        </is>
      </c>
      <c r="B3" s="12" t="inlineStr">
        <is>
          <t>EMP-0002</t>
        </is>
      </c>
      <c r="C3" s="12" t="n">
        <v>224</v>
      </c>
      <c r="D3" s="12" t="n">
        <v>8</v>
      </c>
      <c r="E3" s="12" t="n">
        <v>4</v>
      </c>
      <c r="F3" s="12" t="n">
        <v>0</v>
      </c>
      <c r="G3" s="12" t="n">
        <v>8</v>
      </c>
      <c r="H3" s="12" t="n">
        <v>0</v>
      </c>
      <c r="I3" s="4" t="n">
        <v>150000</v>
      </c>
      <c r="J3" s="4" t="n">
        <v>250000</v>
      </c>
      <c r="K3" s="12" t="n"/>
    </row>
    <row r="4">
      <c r="A4" s="12" t="inlineStr">
        <is>
          <t>NOV-0003</t>
        </is>
      </c>
      <c r="B4" s="12" t="inlineStr">
        <is>
          <t>EMP-0003</t>
        </is>
      </c>
      <c r="C4" s="12" t="n">
        <v>232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4" t="n">
        <v>0</v>
      </c>
      <c r="J4" s="4" t="n">
        <v>0</v>
      </c>
      <c r="K4" s="12" t="n"/>
    </row>
    <row r="5">
      <c r="A5" s="12" t="inlineStr">
        <is>
          <t>NOV-0004</t>
        </is>
      </c>
      <c r="B5" s="12" t="inlineStr">
        <is>
          <t>EMP-0004</t>
        </is>
      </c>
      <c r="C5" s="12" t="n">
        <v>224</v>
      </c>
      <c r="D5" s="12" t="n">
        <v>2</v>
      </c>
      <c r="E5" s="12" t="n">
        <v>4</v>
      </c>
      <c r="F5" s="12" t="n">
        <v>8</v>
      </c>
      <c r="G5" s="12" t="n">
        <v>0</v>
      </c>
      <c r="H5" s="12" t="n">
        <v>0</v>
      </c>
      <c r="I5" s="4" t="n">
        <v>0</v>
      </c>
      <c r="J5" s="4" t="n">
        <v>0</v>
      </c>
      <c r="K5" s="12" t="n"/>
    </row>
    <row r="6">
      <c r="A6" s="12" t="inlineStr">
        <is>
          <t>NOV-0005</t>
        </is>
      </c>
      <c r="B6" s="12" t="inlineStr">
        <is>
          <t>EMP-0005</t>
        </is>
      </c>
      <c r="C6" s="12" t="n">
        <v>240</v>
      </c>
      <c r="D6" s="12" t="n">
        <v>8</v>
      </c>
      <c r="E6" s="12" t="n">
        <v>2</v>
      </c>
      <c r="F6" s="12" t="n">
        <v>5</v>
      </c>
      <c r="G6" s="12" t="n">
        <v>8</v>
      </c>
      <c r="H6" s="12" t="n">
        <v>0</v>
      </c>
      <c r="I6" s="4" t="n">
        <v>0</v>
      </c>
      <c r="J6" s="4" t="n">
        <v>0</v>
      </c>
      <c r="K6" s="12" t="n"/>
    </row>
    <row r="7">
      <c r="A7" s="12" t="inlineStr">
        <is>
          <t>NOV-0006</t>
        </is>
      </c>
      <c r="B7" s="12" t="inlineStr">
        <is>
          <t>EMP-0006</t>
        </is>
      </c>
      <c r="C7" s="12" t="n">
        <v>240</v>
      </c>
      <c r="D7" s="12" t="n">
        <v>4</v>
      </c>
      <c r="E7" s="12" t="n">
        <v>2</v>
      </c>
      <c r="F7" s="12" t="n">
        <v>0</v>
      </c>
      <c r="G7" s="12" t="n">
        <v>0</v>
      </c>
      <c r="H7" s="12" t="n">
        <v>2</v>
      </c>
      <c r="I7" s="4" t="n">
        <v>150000</v>
      </c>
      <c r="J7" s="4" t="n">
        <v>0</v>
      </c>
      <c r="K7" s="12" t="n"/>
    </row>
    <row r="8">
      <c r="A8" s="12" t="inlineStr">
        <is>
          <t>NOV-0007</t>
        </is>
      </c>
      <c r="B8" s="12" t="inlineStr">
        <is>
          <t>EMP-0007</t>
        </is>
      </c>
      <c r="C8" s="12" t="n">
        <v>224</v>
      </c>
      <c r="D8" s="12" t="n">
        <v>6</v>
      </c>
      <c r="E8" s="12" t="n">
        <v>1</v>
      </c>
      <c r="F8" s="12" t="n">
        <v>0</v>
      </c>
      <c r="G8" s="12" t="n">
        <v>0</v>
      </c>
      <c r="H8" s="12" t="n">
        <v>0</v>
      </c>
      <c r="I8" s="4" t="n">
        <v>500000</v>
      </c>
      <c r="J8" s="4" t="n">
        <v>0</v>
      </c>
      <c r="K8" s="12" t="n"/>
    </row>
    <row r="9">
      <c r="A9" s="12" t="inlineStr">
        <is>
          <t>NOV-0008</t>
        </is>
      </c>
      <c r="B9" s="12" t="inlineStr">
        <is>
          <t>EMP-0008</t>
        </is>
      </c>
      <c r="C9" s="12" t="n">
        <v>240</v>
      </c>
      <c r="D9" s="12" t="n">
        <v>0</v>
      </c>
      <c r="E9" s="12" t="n">
        <v>0</v>
      </c>
      <c r="F9" s="12" t="n">
        <v>10</v>
      </c>
      <c r="G9" s="12" t="n">
        <v>0</v>
      </c>
      <c r="H9" s="12" t="n">
        <v>0</v>
      </c>
      <c r="I9" s="4" t="n">
        <v>0</v>
      </c>
      <c r="J9" s="4" t="n">
        <v>0</v>
      </c>
      <c r="K9" s="12" t="n"/>
    </row>
    <row r="10">
      <c r="A10" s="12" t="inlineStr">
        <is>
          <t>NOV-0009</t>
        </is>
      </c>
      <c r="B10" s="12" t="inlineStr">
        <is>
          <t>EMP-0009</t>
        </is>
      </c>
      <c r="C10" s="12" t="n">
        <v>240</v>
      </c>
      <c r="D10" s="12" t="n">
        <v>0</v>
      </c>
      <c r="E10" s="12" t="n">
        <v>4</v>
      </c>
      <c r="F10" s="12" t="n">
        <v>0</v>
      </c>
      <c r="G10" s="12" t="n">
        <v>0</v>
      </c>
      <c r="H10" s="12" t="n">
        <v>0</v>
      </c>
      <c r="I10" s="4" t="n">
        <v>0</v>
      </c>
      <c r="J10" s="4" t="n">
        <v>0</v>
      </c>
      <c r="K10" s="12" t="n"/>
    </row>
    <row r="11">
      <c r="A11" s="12" t="inlineStr">
        <is>
          <t>NOV-0010</t>
        </is>
      </c>
      <c r="B11" s="12" t="inlineStr">
        <is>
          <t>EMP-0010</t>
        </is>
      </c>
      <c r="C11" s="12" t="n">
        <v>240</v>
      </c>
      <c r="D11" s="12" t="n">
        <v>2</v>
      </c>
      <c r="E11" s="12" t="n">
        <v>2</v>
      </c>
      <c r="F11" s="12" t="n">
        <v>5</v>
      </c>
      <c r="G11" s="12" t="n">
        <v>0</v>
      </c>
      <c r="H11" s="12" t="n">
        <v>0</v>
      </c>
      <c r="I11" s="4" t="n">
        <v>500000</v>
      </c>
      <c r="J11" s="4" t="n">
        <v>100000</v>
      </c>
      <c r="K11" s="12" t="n"/>
    </row>
    <row r="12">
      <c r="A12" s="12" t="inlineStr">
        <is>
          <t>NOV-0011</t>
        </is>
      </c>
      <c r="B12" s="12" t="inlineStr">
        <is>
          <t>EMP-0011</t>
        </is>
      </c>
      <c r="C12" s="12" t="n">
        <v>240</v>
      </c>
      <c r="D12" s="12" t="n">
        <v>0</v>
      </c>
      <c r="E12" s="12" t="n">
        <v>0</v>
      </c>
      <c r="F12" s="12" t="n">
        <v>0</v>
      </c>
      <c r="G12" s="12" t="n">
        <v>8</v>
      </c>
      <c r="H12" s="12" t="n">
        <v>2</v>
      </c>
      <c r="I12" s="4" t="n">
        <v>500000</v>
      </c>
      <c r="J12" s="4" t="n">
        <v>0</v>
      </c>
      <c r="K12" s="12" t="n"/>
    </row>
    <row r="13">
      <c r="A13" s="12" t="inlineStr">
        <is>
          <t>NOV-0012</t>
        </is>
      </c>
      <c r="B13" s="12" t="inlineStr">
        <is>
          <t>EMP-0012</t>
        </is>
      </c>
      <c r="C13" s="12" t="n">
        <v>240</v>
      </c>
      <c r="D13" s="12" t="n">
        <v>2</v>
      </c>
      <c r="E13" s="12" t="n">
        <v>4</v>
      </c>
      <c r="F13" s="12" t="n">
        <v>5</v>
      </c>
      <c r="G13" s="12" t="n">
        <v>8</v>
      </c>
      <c r="H13" s="12" t="n">
        <v>2</v>
      </c>
      <c r="I13" s="4" t="n">
        <v>0</v>
      </c>
      <c r="J13" s="4" t="n">
        <v>0</v>
      </c>
      <c r="K13" s="12" t="n"/>
    </row>
    <row r="14">
      <c r="A14" s="12" t="inlineStr">
        <is>
          <t>NOV-0013</t>
        </is>
      </c>
      <c r="B14" s="12" t="inlineStr">
        <is>
          <t>EMP-0013</t>
        </is>
      </c>
      <c r="C14" s="12" t="n">
        <v>232</v>
      </c>
      <c r="D14" s="12" t="n">
        <v>6</v>
      </c>
      <c r="E14" s="12" t="n">
        <v>1</v>
      </c>
      <c r="F14" s="12" t="n">
        <v>10</v>
      </c>
      <c r="G14" s="12" t="n">
        <v>0</v>
      </c>
      <c r="H14" s="12" t="n">
        <v>0</v>
      </c>
      <c r="I14" s="4" t="n">
        <v>0</v>
      </c>
      <c r="J14" s="4" t="n">
        <v>250000</v>
      </c>
      <c r="K14" s="12" t="n"/>
    </row>
    <row r="15">
      <c r="A15" s="12" t="inlineStr">
        <is>
          <t>NOV-0014</t>
        </is>
      </c>
      <c r="B15" s="12" t="inlineStr">
        <is>
          <t>EMP-0014</t>
        </is>
      </c>
      <c r="C15" s="12" t="n">
        <v>240</v>
      </c>
      <c r="D15" s="12" t="n">
        <v>2</v>
      </c>
      <c r="E15" s="12" t="n">
        <v>4</v>
      </c>
      <c r="F15" s="12" t="n">
        <v>10</v>
      </c>
      <c r="G15" s="12" t="n">
        <v>0</v>
      </c>
      <c r="H15" s="12" t="n">
        <v>0</v>
      </c>
      <c r="I15" s="4" t="n">
        <v>0</v>
      </c>
      <c r="J15" s="4" t="n">
        <v>0</v>
      </c>
      <c r="K15" s="12" t="n"/>
    </row>
    <row r="16">
      <c r="A16" s="12" t="inlineStr">
        <is>
          <t>NOV-0015</t>
        </is>
      </c>
      <c r="B16" s="12" t="inlineStr">
        <is>
          <t>EMP-0015</t>
        </is>
      </c>
      <c r="C16" s="12" t="n">
        <v>240</v>
      </c>
      <c r="D16" s="12" t="n">
        <v>6</v>
      </c>
      <c r="E16" s="12" t="n">
        <v>0</v>
      </c>
      <c r="F16" s="12" t="n">
        <v>10</v>
      </c>
      <c r="G16" s="12" t="n">
        <v>0</v>
      </c>
      <c r="H16" s="12" t="n">
        <v>2</v>
      </c>
      <c r="I16" s="4" t="n">
        <v>0</v>
      </c>
      <c r="J16" s="4" t="n">
        <v>250000</v>
      </c>
      <c r="K16" s="12" t="n"/>
    </row>
    <row r="17">
      <c r="A17" s="12" t="inlineStr">
        <is>
          <t>NOV-0016</t>
        </is>
      </c>
      <c r="B17" s="12" t="inlineStr">
        <is>
          <t>EMP-0016</t>
        </is>
      </c>
      <c r="C17" s="12" t="n">
        <v>232</v>
      </c>
      <c r="D17" s="12" t="n">
        <v>0</v>
      </c>
      <c r="E17" s="12" t="n">
        <v>0</v>
      </c>
      <c r="F17" s="12" t="n">
        <v>8</v>
      </c>
      <c r="G17" s="12" t="n">
        <v>0</v>
      </c>
      <c r="H17" s="12" t="n">
        <v>1</v>
      </c>
      <c r="I17" s="4" t="n">
        <v>500000</v>
      </c>
      <c r="J17" s="4" t="n">
        <v>0</v>
      </c>
      <c r="K17" s="12" t="n"/>
    </row>
    <row r="18">
      <c r="A18" s="12" t="inlineStr">
        <is>
          <t>NOV-0017</t>
        </is>
      </c>
      <c r="B18" s="12" t="inlineStr">
        <is>
          <t>EMP-0017</t>
        </is>
      </c>
      <c r="C18" s="12" t="n">
        <v>224</v>
      </c>
      <c r="D18" s="12" t="n">
        <v>8</v>
      </c>
      <c r="E18" s="12" t="n">
        <v>1</v>
      </c>
      <c r="F18" s="12" t="n">
        <v>0</v>
      </c>
      <c r="G18" s="12" t="n">
        <v>0</v>
      </c>
      <c r="H18" s="12" t="n">
        <v>0</v>
      </c>
      <c r="I18" s="4" t="n">
        <v>0</v>
      </c>
      <c r="J18" s="4" t="n">
        <v>0</v>
      </c>
      <c r="K18" s="12" t="n"/>
    </row>
    <row r="19">
      <c r="A19" s="12" t="inlineStr">
        <is>
          <t>NOV-0018</t>
        </is>
      </c>
      <c r="B19" s="12" t="inlineStr">
        <is>
          <t>EMP-0018</t>
        </is>
      </c>
      <c r="C19" s="12" t="n">
        <v>240</v>
      </c>
      <c r="D19" s="12" t="n">
        <v>8</v>
      </c>
      <c r="E19" s="12" t="n">
        <v>0</v>
      </c>
      <c r="F19" s="12" t="n">
        <v>0</v>
      </c>
      <c r="G19" s="12" t="n">
        <v>0</v>
      </c>
      <c r="H19" s="12" t="n">
        <v>0</v>
      </c>
      <c r="I19" s="4" t="n">
        <v>300000</v>
      </c>
      <c r="J19" s="4" t="n">
        <v>250000</v>
      </c>
      <c r="K19" s="12" t="n"/>
    </row>
    <row r="20">
      <c r="A20" s="12" t="inlineStr">
        <is>
          <t>NOV-0019</t>
        </is>
      </c>
      <c r="B20" s="12" t="inlineStr">
        <is>
          <t>EMP-0019</t>
        </is>
      </c>
      <c r="C20" s="12" t="n">
        <v>240</v>
      </c>
      <c r="D20" s="12" t="n">
        <v>8</v>
      </c>
      <c r="E20" s="12" t="n">
        <v>0</v>
      </c>
      <c r="F20" s="12" t="n">
        <v>0</v>
      </c>
      <c r="G20" s="12" t="n">
        <v>0</v>
      </c>
      <c r="H20" s="12" t="n">
        <v>0</v>
      </c>
      <c r="I20" s="4" t="n">
        <v>0</v>
      </c>
      <c r="J20" s="4" t="n">
        <v>0</v>
      </c>
      <c r="K20" s="12" t="n"/>
    </row>
    <row r="21">
      <c r="A21" s="12" t="inlineStr">
        <is>
          <t>NOV-0020</t>
        </is>
      </c>
      <c r="B21" s="12" t="inlineStr">
        <is>
          <t>EMP-0020</t>
        </is>
      </c>
      <c r="C21" s="12" t="n">
        <v>240</v>
      </c>
      <c r="D21" s="12" t="n">
        <v>0</v>
      </c>
      <c r="E21" s="12" t="n">
        <v>1</v>
      </c>
      <c r="F21" s="12" t="n">
        <v>0</v>
      </c>
      <c r="G21" s="12" t="n">
        <v>0</v>
      </c>
      <c r="H21" s="12" t="n">
        <v>0</v>
      </c>
      <c r="I21" s="4" t="n">
        <v>150000</v>
      </c>
      <c r="J21" s="4" t="n">
        <v>0</v>
      </c>
      <c r="K21" s="12" t="n"/>
    </row>
    <row r="22">
      <c r="A22" s="12" t="inlineStr">
        <is>
          <t>NOV-0021</t>
        </is>
      </c>
      <c r="B22" s="12" t="inlineStr">
        <is>
          <t>EMP-0021</t>
        </is>
      </c>
      <c r="C22" s="12" t="n">
        <v>240</v>
      </c>
      <c r="D22" s="12" t="n">
        <v>0</v>
      </c>
      <c r="E22" s="12" t="n">
        <v>4</v>
      </c>
      <c r="F22" s="12" t="n">
        <v>10</v>
      </c>
      <c r="G22" s="12" t="n">
        <v>0</v>
      </c>
      <c r="H22" s="12" t="n">
        <v>0</v>
      </c>
      <c r="I22" s="4" t="n">
        <v>300000</v>
      </c>
      <c r="J22" s="4" t="n">
        <v>250000</v>
      </c>
      <c r="K22" s="12" t="n"/>
    </row>
    <row r="23">
      <c r="A23" s="12" t="inlineStr">
        <is>
          <t>NOV-0022</t>
        </is>
      </c>
      <c r="B23" s="12" t="inlineStr">
        <is>
          <t>EMP-0022</t>
        </is>
      </c>
      <c r="C23" s="12" t="n">
        <v>224</v>
      </c>
      <c r="D23" s="12" t="n">
        <v>4</v>
      </c>
      <c r="E23" s="12" t="n">
        <v>0</v>
      </c>
      <c r="F23" s="12" t="n">
        <v>10</v>
      </c>
      <c r="G23" s="12" t="n">
        <v>0</v>
      </c>
      <c r="H23" s="12" t="n">
        <v>0</v>
      </c>
      <c r="I23" s="4" t="n">
        <v>500000</v>
      </c>
      <c r="J23" s="4" t="n">
        <v>100000</v>
      </c>
      <c r="K23" s="12" t="n"/>
    </row>
    <row r="24">
      <c r="A24" s="12" t="inlineStr">
        <is>
          <t>NOV-0023</t>
        </is>
      </c>
      <c r="B24" s="12" t="inlineStr">
        <is>
          <t>EMP-0023</t>
        </is>
      </c>
      <c r="C24" s="12" t="n">
        <v>240</v>
      </c>
      <c r="D24" s="12" t="n">
        <v>4</v>
      </c>
      <c r="E24" s="12" t="n">
        <v>1</v>
      </c>
      <c r="F24" s="12" t="n">
        <v>10</v>
      </c>
      <c r="G24" s="12" t="n">
        <v>0</v>
      </c>
      <c r="H24" s="12" t="n">
        <v>2</v>
      </c>
      <c r="I24" s="4" t="n">
        <v>0</v>
      </c>
      <c r="J24" s="4" t="n">
        <v>0</v>
      </c>
      <c r="K24" s="12" t="n"/>
    </row>
    <row r="25">
      <c r="A25" s="12" t="inlineStr">
        <is>
          <t>NOV-0024</t>
        </is>
      </c>
      <c r="B25" s="12" t="inlineStr">
        <is>
          <t>EMP-0024</t>
        </is>
      </c>
      <c r="C25" s="12" t="n">
        <v>224</v>
      </c>
      <c r="D25" s="12" t="n">
        <v>8</v>
      </c>
      <c r="E25" s="12" t="n">
        <v>0</v>
      </c>
      <c r="F25" s="12" t="n">
        <v>0</v>
      </c>
      <c r="G25" s="12" t="n">
        <v>0</v>
      </c>
      <c r="H25" s="12" t="n">
        <v>1</v>
      </c>
      <c r="I25" s="4" t="n">
        <v>0</v>
      </c>
      <c r="J25" s="4" t="n">
        <v>0</v>
      </c>
      <c r="K25" s="12" t="n"/>
    </row>
    <row r="26">
      <c r="A26" s="12" t="inlineStr">
        <is>
          <t>NOV-0025</t>
        </is>
      </c>
      <c r="B26" s="12" t="inlineStr">
        <is>
          <t>EMP-0025</t>
        </is>
      </c>
      <c r="C26" s="12" t="n">
        <v>240</v>
      </c>
      <c r="D26" s="12" t="n">
        <v>4</v>
      </c>
      <c r="E26" s="12" t="n">
        <v>2</v>
      </c>
      <c r="F26" s="12" t="n">
        <v>10</v>
      </c>
      <c r="G26" s="12" t="n">
        <v>0</v>
      </c>
      <c r="H26" s="12" t="n">
        <v>0</v>
      </c>
      <c r="I26" s="4" t="n">
        <v>0</v>
      </c>
      <c r="J26" s="4" t="n">
        <v>0</v>
      </c>
      <c r="K26" s="12" t="n"/>
    </row>
    <row r="27">
      <c r="A27" s="12" t="inlineStr">
        <is>
          <t>NOV-0026</t>
        </is>
      </c>
      <c r="B27" s="12" t="inlineStr">
        <is>
          <t>EMP-0026</t>
        </is>
      </c>
      <c r="C27" s="12" t="n">
        <v>224</v>
      </c>
      <c r="D27" s="12" t="n">
        <v>2</v>
      </c>
      <c r="E27" s="12" t="n">
        <v>2</v>
      </c>
      <c r="F27" s="12" t="n">
        <v>8</v>
      </c>
      <c r="G27" s="12" t="n">
        <v>0</v>
      </c>
      <c r="H27" s="12" t="n">
        <v>0</v>
      </c>
      <c r="I27" s="4" t="n">
        <v>0</v>
      </c>
      <c r="J27" s="4" t="n">
        <v>100000</v>
      </c>
      <c r="K27" s="12" t="n"/>
    </row>
    <row r="28">
      <c r="A28" s="12" t="inlineStr">
        <is>
          <t>NOV-0027</t>
        </is>
      </c>
      <c r="B28" s="12" t="inlineStr">
        <is>
          <t>EMP-0027</t>
        </is>
      </c>
      <c r="C28" s="12" t="n">
        <v>240</v>
      </c>
      <c r="D28" s="12" t="n">
        <v>0</v>
      </c>
      <c r="E28" s="12" t="n">
        <v>4</v>
      </c>
      <c r="F28" s="12" t="n">
        <v>0</v>
      </c>
      <c r="G28" s="12" t="n">
        <v>0</v>
      </c>
      <c r="H28" s="12" t="n">
        <v>2</v>
      </c>
      <c r="I28" s="4" t="n">
        <v>0</v>
      </c>
      <c r="J28" s="4" t="n">
        <v>250000</v>
      </c>
      <c r="K28" s="12" t="n"/>
    </row>
    <row r="29">
      <c r="A29" s="12" t="inlineStr">
        <is>
          <t>NOV-0028</t>
        </is>
      </c>
      <c r="B29" s="12" t="inlineStr">
        <is>
          <t>EMP-0028</t>
        </is>
      </c>
      <c r="C29" s="12" t="n">
        <v>240</v>
      </c>
      <c r="D29" s="12" t="n">
        <v>6</v>
      </c>
      <c r="E29" s="12" t="n">
        <v>0</v>
      </c>
      <c r="F29" s="12" t="n">
        <v>5</v>
      </c>
      <c r="G29" s="12" t="n">
        <v>0</v>
      </c>
      <c r="H29" s="12" t="n">
        <v>2</v>
      </c>
      <c r="I29" s="4" t="n">
        <v>500000</v>
      </c>
      <c r="J29" s="4" t="n">
        <v>0</v>
      </c>
      <c r="K29" s="12" t="n"/>
    </row>
    <row r="30">
      <c r="A30" s="12" t="inlineStr">
        <is>
          <t>NOV-0029</t>
        </is>
      </c>
      <c r="B30" s="12" t="inlineStr">
        <is>
          <t>EMP-0029</t>
        </is>
      </c>
      <c r="C30" s="12" t="n">
        <v>240</v>
      </c>
      <c r="D30" s="12" t="n">
        <v>4</v>
      </c>
      <c r="E30" s="12" t="n">
        <v>0</v>
      </c>
      <c r="F30" s="12" t="n">
        <v>10</v>
      </c>
      <c r="G30" s="12" t="n">
        <v>0</v>
      </c>
      <c r="H30" s="12" t="n">
        <v>1</v>
      </c>
      <c r="I30" s="4" t="n">
        <v>500000</v>
      </c>
      <c r="J30" s="4" t="n">
        <v>250000</v>
      </c>
      <c r="K30" s="12" t="n"/>
    </row>
    <row r="31">
      <c r="A31" s="12" t="inlineStr">
        <is>
          <t>NOV-0030</t>
        </is>
      </c>
      <c r="B31" s="12" t="inlineStr">
        <is>
          <t>EMP-0030</t>
        </is>
      </c>
      <c r="C31" s="12" t="n">
        <v>232</v>
      </c>
      <c r="D31" s="12" t="n">
        <v>6</v>
      </c>
      <c r="E31" s="12" t="n">
        <v>0</v>
      </c>
      <c r="F31" s="12" t="n">
        <v>10</v>
      </c>
      <c r="G31" s="12" t="n">
        <v>8</v>
      </c>
      <c r="H31" s="12" t="n">
        <v>0</v>
      </c>
      <c r="I31" s="4" t="n">
        <v>150000</v>
      </c>
      <c r="J31" s="4" t="n">
        <v>0</v>
      </c>
      <c r="K31" s="12" t="n"/>
    </row>
    <row r="32">
      <c r="A32" t="inlineStr">
        <is>
          <t>NOV-0031</t>
        </is>
      </c>
      <c r="B32" t="inlineStr">
        <is>
          <t>EMP-0031</t>
        </is>
      </c>
      <c r="C32" t="n">
        <v>240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Creado desde Telegram</t>
        </is>
      </c>
    </row>
    <row r="33">
      <c r="A33" t="inlineStr">
        <is>
          <t>NOV-0032</t>
        </is>
      </c>
      <c r="B33" t="inlineStr">
        <is>
          <t>EMP-0032</t>
        </is>
      </c>
      <c r="C33" t="n">
        <v>240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Creado desde Telegram</t>
        </is>
      </c>
    </row>
    <row r="34">
      <c r="A34" t="inlineStr">
        <is>
          <t>NOV-0033</t>
        </is>
      </c>
      <c r="B34" t="inlineStr">
        <is>
          <t>EMP-0033</t>
        </is>
      </c>
      <c r="C34" t="n">
        <v>240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Creado desde Telegram</t>
        </is>
      </c>
    </row>
    <row r="35">
      <c r="A35" t="inlineStr">
        <is>
          <t>NOV-0034</t>
        </is>
      </c>
      <c r="B35" t="inlineStr">
        <is>
          <t>EMP-0034</t>
        </is>
      </c>
      <c r="C35" t="n">
        <v>240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Creado desde Telegram</t>
        </is>
      </c>
    </row>
    <row r="36">
      <c r="A36" t="inlineStr">
        <is>
          <t>NOV-0035</t>
        </is>
      </c>
      <c r="B36" t="inlineStr">
        <is>
          <t>EMP-0035</t>
        </is>
      </c>
      <c r="C36" t="n">
        <v>240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Creado desde Telegram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6" customWidth="1" min="1" max="1"/>
    <col width="24" customWidth="1" min="2" max="2"/>
    <col width="26" customWidth="1" min="3" max="3"/>
    <col width="16" customWidth="1" min="4" max="18"/>
    <col width="24" customWidth="1" min="19" max="19"/>
  </cols>
  <sheetData>
    <row r="1" ht="30" customHeight="1">
      <c r="A1" s="1" t="inlineStr">
        <is>
          <t>EmpleadoID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Area</t>
        </is>
      </c>
      <c r="E1" s="1" t="inlineStr">
        <is>
          <t>SalarioBase</t>
        </is>
      </c>
      <c r="F1" s="1" t="inlineStr">
        <is>
          <t>ValorHora</t>
        </is>
      </c>
      <c r="G1" s="1" t="inlineStr">
        <is>
          <t>SalarioDevengado</t>
        </is>
      </c>
      <c r="H1" s="1" t="inlineStr">
        <is>
          <t>AuxTransporte</t>
        </is>
      </c>
      <c r="I1" s="1" t="inlineStr">
        <is>
          <t>ValorExtrasRecargos</t>
        </is>
      </c>
      <c r="J1" s="1" t="inlineStr">
        <is>
          <t>Bonificaciones</t>
        </is>
      </c>
      <c r="K1" s="1" t="inlineStr">
        <is>
          <t>TotalDevengado</t>
        </is>
      </c>
      <c r="L1" s="1" t="inlineStr">
        <is>
          <t>Salud</t>
        </is>
      </c>
      <c r="M1" s="1" t="inlineStr">
        <is>
          <t>Pension</t>
        </is>
      </c>
      <c r="N1" s="1" t="inlineStr">
        <is>
          <t>RetencionFuente</t>
        </is>
      </c>
      <c r="O1" s="1" t="inlineStr">
        <is>
          <t>PrestamosDescuentos</t>
        </is>
      </c>
      <c r="P1" s="1" t="inlineStr">
        <is>
          <t>TotalDeducciones</t>
        </is>
      </c>
      <c r="Q1" s="1" t="inlineStr">
        <is>
          <t>NetoAPagar</t>
        </is>
      </c>
      <c r="R1" s="1" t="inlineStr">
        <is>
          <t>CostoEmpresaEstimado</t>
        </is>
      </c>
      <c r="S1" s="1" t="inlineStr">
        <is>
          <t>EstadoAgente</t>
        </is>
      </c>
    </row>
    <row r="2">
      <c r="A2" s="12">
        <f>Empleados!A2</f>
        <v/>
      </c>
      <c r="B2" s="12">
        <f>Empleados!B2</f>
        <v/>
      </c>
      <c r="C2" s="12">
        <f>Empleados!C2</f>
        <v/>
      </c>
      <c r="D2" s="12">
        <f>Empleados!D2</f>
        <v/>
      </c>
      <c r="E2" s="4">
        <f>Empleados!E2</f>
        <v/>
      </c>
      <c r="F2" s="4">
        <f>E2/Parametros!$B$8</f>
        <v/>
      </c>
      <c r="G2" s="4">
        <f>ROUND(E2/Parametros!$B$8*Novedades_Horas!C2,0)</f>
        <v/>
      </c>
      <c r="H2" s="4">
        <f>IF(AND(E2&lt;=Parametros!$B$7,Empleados!L2="Si"),Parametros!$B$6,0)</f>
        <v/>
      </c>
      <c r="I2" s="4">
        <f>ROUND(F2*(Novedades_Horas!D2*Parametros!$B$12+Novedades_Horas!E2*Parametros!$B$13+Novedades_Horas!F2*Parametros!$B$14+Novedades_Horas!G2*Parametros!$B$15),0)</f>
        <v/>
      </c>
      <c r="J2" s="4">
        <f>Novedades_Horas!I2</f>
        <v/>
      </c>
      <c r="K2" s="4">
        <f>SUM(G2:J2)</f>
        <v/>
      </c>
      <c r="L2" s="4">
        <f>ROUND((G2+I2+J2)*Parametros!$B$9,0)</f>
        <v/>
      </c>
      <c r="M2" s="4">
        <f>ROUND((G2+I2+J2)*Parametros!$B$10,0)</f>
        <v/>
      </c>
      <c r="N2" s="4">
        <f>IF(K2&gt;6000000,ROUND((K2-6000000)*0.1,0),0)</f>
        <v/>
      </c>
      <c r="O2" s="4">
        <f>Novedades_Horas!J2</f>
        <v/>
      </c>
      <c r="P2" s="4">
        <f>SUM(L2:O2)</f>
        <v/>
      </c>
      <c r="Q2" s="4">
        <f>K2-P2</f>
        <v/>
      </c>
      <c r="R2" s="4">
        <f>ROUND(K2+(G2+I2+J2)*0.205,0)</f>
        <v/>
      </c>
      <c r="S2" s="12">
        <f>IF(Q2&lt;0,"ERROR: Neto negativo",IF(E2&lt;Parametros!$B$5,"ERROR: Salario bajo",IF(E2&gt;Parametros!$B$11,"REVISAR: salario alto","OK")))</f>
        <v/>
      </c>
    </row>
    <row r="3">
      <c r="A3" s="12">
        <f>Empleados!A3</f>
        <v/>
      </c>
      <c r="B3" s="12">
        <f>Empleados!B3</f>
        <v/>
      </c>
      <c r="C3" s="12">
        <f>Empleados!C3</f>
        <v/>
      </c>
      <c r="D3" s="12">
        <f>Empleados!D3</f>
        <v/>
      </c>
      <c r="E3" s="4">
        <f>Empleados!E3</f>
        <v/>
      </c>
      <c r="F3" s="4">
        <f>E3/Parametros!$B$8</f>
        <v/>
      </c>
      <c r="G3" s="4">
        <f>ROUND(E3/Parametros!$B$8*Novedades_Horas!C3,0)</f>
        <v/>
      </c>
      <c r="H3" s="4">
        <f>IF(AND(E3&lt;=Parametros!$B$7,Empleados!L3="Si"),Parametros!$B$6,0)</f>
        <v/>
      </c>
      <c r="I3" s="4">
        <f>ROUND(F3*(Novedades_Horas!D3*Parametros!$B$12+Novedades_Horas!E3*Parametros!$B$13+Novedades_Horas!F3*Parametros!$B$14+Novedades_Horas!G3*Parametros!$B$15),0)</f>
        <v/>
      </c>
      <c r="J3" s="4">
        <f>Novedades_Horas!I3</f>
        <v/>
      </c>
      <c r="K3" s="4">
        <f>SUM(G3:J3)</f>
        <v/>
      </c>
      <c r="L3" s="4">
        <f>ROUND((G3+I3+J3)*Parametros!$B$9,0)</f>
        <v/>
      </c>
      <c r="M3" s="4">
        <f>ROUND((G3+I3+J3)*Parametros!$B$10,0)</f>
        <v/>
      </c>
      <c r="N3" s="4">
        <f>IF(K3&gt;6000000,ROUND((K3-6000000)*0.1,0),0)</f>
        <v/>
      </c>
      <c r="O3" s="4">
        <f>Novedades_Horas!J3</f>
        <v/>
      </c>
      <c r="P3" s="4">
        <f>SUM(L3:O3)</f>
        <v/>
      </c>
      <c r="Q3" s="4">
        <f>K3-P3</f>
        <v/>
      </c>
      <c r="R3" s="4">
        <f>ROUND(K3+(G3+I3+J3)*0.205,0)</f>
        <v/>
      </c>
      <c r="S3" s="12">
        <f>IF(Q3&lt;0,"ERROR: Neto negativo",IF(E3&lt;Parametros!$B$5,"ERROR: Salario bajo",IF(E3&gt;Parametros!$B$11,"REVISAR: salario alto","OK")))</f>
        <v/>
      </c>
    </row>
    <row r="4">
      <c r="A4" s="12">
        <f>Empleados!A4</f>
        <v/>
      </c>
      <c r="B4" s="12">
        <f>Empleados!B4</f>
        <v/>
      </c>
      <c r="C4" s="12">
        <f>Empleados!C4</f>
        <v/>
      </c>
      <c r="D4" s="12">
        <f>Empleados!D4</f>
        <v/>
      </c>
      <c r="E4" s="4">
        <f>Empleados!E4</f>
        <v/>
      </c>
      <c r="F4" s="4">
        <f>E4/Parametros!$B$8</f>
        <v/>
      </c>
      <c r="G4" s="4">
        <f>ROUND(E4/Parametros!$B$8*Novedades_Horas!C4,0)</f>
        <v/>
      </c>
      <c r="H4" s="4">
        <f>IF(AND(E4&lt;=Parametros!$B$7,Empleados!L4="Si"),Parametros!$B$6,0)</f>
        <v/>
      </c>
      <c r="I4" s="4">
        <f>ROUND(F4*(Novedades_Horas!D4*Parametros!$B$12+Novedades_Horas!E4*Parametros!$B$13+Novedades_Horas!F4*Parametros!$B$14+Novedades_Horas!G4*Parametros!$B$15),0)</f>
        <v/>
      </c>
      <c r="J4" s="4">
        <f>Novedades_Horas!I4</f>
        <v/>
      </c>
      <c r="K4" s="4">
        <f>SUM(G4:J4)</f>
        <v/>
      </c>
      <c r="L4" s="4">
        <f>ROUND((G4+I4+J4)*Parametros!$B$9,0)</f>
        <v/>
      </c>
      <c r="M4" s="4">
        <f>ROUND((G4+I4+J4)*Parametros!$B$10,0)</f>
        <v/>
      </c>
      <c r="N4" s="4">
        <f>IF(K4&gt;6000000,ROUND((K4-6000000)*0.1,0),0)</f>
        <v/>
      </c>
      <c r="O4" s="4">
        <f>Novedades_Horas!J4</f>
        <v/>
      </c>
      <c r="P4" s="4">
        <f>SUM(L4:O4)</f>
        <v/>
      </c>
      <c r="Q4" s="4">
        <f>K4-P4</f>
        <v/>
      </c>
      <c r="R4" s="4">
        <f>ROUND(K4+(G4+I4+J4)*0.205,0)</f>
        <v/>
      </c>
      <c r="S4" s="12">
        <f>IF(Q4&lt;0,"ERROR: Neto negativo",IF(E4&lt;Parametros!$B$5,"ERROR: Salario bajo",IF(E4&gt;Parametros!$B$11,"REVISAR: salario alto","OK")))</f>
        <v/>
      </c>
    </row>
    <row r="5">
      <c r="A5" s="12">
        <f>Empleados!A5</f>
        <v/>
      </c>
      <c r="B5" s="12">
        <f>Empleados!B5</f>
        <v/>
      </c>
      <c r="C5" s="12">
        <f>Empleados!C5</f>
        <v/>
      </c>
      <c r="D5" s="12">
        <f>Empleados!D5</f>
        <v/>
      </c>
      <c r="E5" s="4">
        <f>Empleados!E5</f>
        <v/>
      </c>
      <c r="F5" s="4">
        <f>E5/Parametros!$B$8</f>
        <v/>
      </c>
      <c r="G5" s="4">
        <f>ROUND(E5/Parametros!$B$8*Novedades_Horas!C5,0)</f>
        <v/>
      </c>
      <c r="H5" s="4">
        <f>IF(AND(E5&lt;=Parametros!$B$7,Empleados!L5="Si"),Parametros!$B$6,0)</f>
        <v/>
      </c>
      <c r="I5" s="4">
        <f>ROUND(F5*(Novedades_Horas!D5*Parametros!$B$12+Novedades_Horas!E5*Parametros!$B$13+Novedades_Horas!F5*Parametros!$B$14+Novedades_Horas!G5*Parametros!$B$15),0)</f>
        <v/>
      </c>
      <c r="J5" s="4">
        <f>Novedades_Horas!I5</f>
        <v/>
      </c>
      <c r="K5" s="4">
        <f>SUM(G5:J5)</f>
        <v/>
      </c>
      <c r="L5" s="4">
        <f>ROUND((G5+I5+J5)*Parametros!$B$9,0)</f>
        <v/>
      </c>
      <c r="M5" s="4">
        <f>ROUND((G5+I5+J5)*Parametros!$B$10,0)</f>
        <v/>
      </c>
      <c r="N5" s="4">
        <f>IF(K5&gt;6000000,ROUND((K5-6000000)*0.1,0),0)</f>
        <v/>
      </c>
      <c r="O5" s="4">
        <f>Novedades_Horas!J5</f>
        <v/>
      </c>
      <c r="P5" s="4">
        <f>SUM(L5:O5)</f>
        <v/>
      </c>
      <c r="Q5" s="4">
        <f>K5-P5</f>
        <v/>
      </c>
      <c r="R5" s="4">
        <f>ROUND(K5+(G5+I5+J5)*0.205,0)</f>
        <v/>
      </c>
      <c r="S5" s="12">
        <f>IF(Q5&lt;0,"ERROR: Neto negativo",IF(E5&lt;Parametros!$B$5,"ERROR: Salario bajo",IF(E5&gt;Parametros!$B$11,"REVISAR: salario alto","OK")))</f>
        <v/>
      </c>
    </row>
    <row r="6">
      <c r="A6" s="12">
        <f>Empleados!A6</f>
        <v/>
      </c>
      <c r="B6" s="12">
        <f>Empleados!B6</f>
        <v/>
      </c>
      <c r="C6" s="12">
        <f>Empleados!C6</f>
        <v/>
      </c>
      <c r="D6" s="12">
        <f>Empleados!D6</f>
        <v/>
      </c>
      <c r="E6" s="4">
        <f>Empleados!E6</f>
        <v/>
      </c>
      <c r="F6" s="4">
        <f>E6/Parametros!$B$8</f>
        <v/>
      </c>
      <c r="G6" s="4">
        <f>ROUND(E6/Parametros!$B$8*Novedades_Horas!C6,0)</f>
        <v/>
      </c>
      <c r="H6" s="4">
        <f>IF(AND(E6&lt;=Parametros!$B$7,Empleados!L6="Si"),Parametros!$B$6,0)</f>
        <v/>
      </c>
      <c r="I6" s="4">
        <f>ROUND(F6*(Novedades_Horas!D6*Parametros!$B$12+Novedades_Horas!E6*Parametros!$B$13+Novedades_Horas!F6*Parametros!$B$14+Novedades_Horas!G6*Parametros!$B$15),0)</f>
        <v/>
      </c>
      <c r="J6" s="4">
        <f>Novedades_Horas!I6</f>
        <v/>
      </c>
      <c r="K6" s="4">
        <f>SUM(G6:J6)</f>
        <v/>
      </c>
      <c r="L6" s="4">
        <f>ROUND((G6+I6+J6)*Parametros!$B$9,0)</f>
        <v/>
      </c>
      <c r="M6" s="4">
        <f>ROUND((G6+I6+J6)*Parametros!$B$10,0)</f>
        <v/>
      </c>
      <c r="N6" s="4">
        <f>IF(K6&gt;6000000,ROUND((K6-6000000)*0.1,0),0)</f>
        <v/>
      </c>
      <c r="O6" s="4">
        <f>Novedades_Horas!J6</f>
        <v/>
      </c>
      <c r="P6" s="4">
        <f>SUM(L6:O6)</f>
        <v/>
      </c>
      <c r="Q6" s="4">
        <f>K6-P6</f>
        <v/>
      </c>
      <c r="R6" s="4">
        <f>ROUND(K6+(G6+I6+J6)*0.205,0)</f>
        <v/>
      </c>
      <c r="S6" s="12">
        <f>IF(Q6&lt;0,"ERROR: Neto negativo",IF(E6&lt;Parametros!$B$5,"ERROR: Salario bajo",IF(E6&gt;Parametros!$B$11,"REVISAR: salario alto","OK")))</f>
        <v/>
      </c>
    </row>
    <row r="7">
      <c r="A7" s="12">
        <f>Empleados!A7</f>
        <v/>
      </c>
      <c r="B7" s="12">
        <f>Empleados!B7</f>
        <v/>
      </c>
      <c r="C7" s="12">
        <f>Empleados!C7</f>
        <v/>
      </c>
      <c r="D7" s="12">
        <f>Empleados!D7</f>
        <v/>
      </c>
      <c r="E7" s="4">
        <f>Empleados!E7</f>
        <v/>
      </c>
      <c r="F7" s="4">
        <f>E7/Parametros!$B$8</f>
        <v/>
      </c>
      <c r="G7" s="4">
        <f>ROUND(E7/Parametros!$B$8*Novedades_Horas!C7,0)</f>
        <v/>
      </c>
      <c r="H7" s="4">
        <f>IF(AND(E7&lt;=Parametros!$B$7,Empleados!L7="Si"),Parametros!$B$6,0)</f>
        <v/>
      </c>
      <c r="I7" s="4">
        <f>ROUND(F7*(Novedades_Horas!D7*Parametros!$B$12+Novedades_Horas!E7*Parametros!$B$13+Novedades_Horas!F7*Parametros!$B$14+Novedades_Horas!G7*Parametros!$B$15),0)</f>
        <v/>
      </c>
      <c r="J7" s="4">
        <f>Novedades_Horas!I7</f>
        <v/>
      </c>
      <c r="K7" s="4">
        <f>SUM(G7:J7)</f>
        <v/>
      </c>
      <c r="L7" s="4">
        <f>ROUND((G7+I7+J7)*Parametros!$B$9,0)</f>
        <v/>
      </c>
      <c r="M7" s="4">
        <f>ROUND((G7+I7+J7)*Parametros!$B$10,0)</f>
        <v/>
      </c>
      <c r="N7" s="4">
        <f>IF(K7&gt;6000000,ROUND((K7-6000000)*0.1,0),0)</f>
        <v/>
      </c>
      <c r="O7" s="4">
        <f>Novedades_Horas!J7</f>
        <v/>
      </c>
      <c r="P7" s="4">
        <f>SUM(L7:O7)</f>
        <v/>
      </c>
      <c r="Q7" s="4">
        <f>K7-P7</f>
        <v/>
      </c>
      <c r="R7" s="4">
        <f>ROUND(K7+(G7+I7+J7)*0.205,0)</f>
        <v/>
      </c>
      <c r="S7" s="12">
        <f>IF(Q7&lt;0,"ERROR: Neto negativo",IF(E7&lt;Parametros!$B$5,"ERROR: Salario bajo",IF(E7&gt;Parametros!$B$11,"REVISAR: salario alto","OK")))</f>
        <v/>
      </c>
    </row>
    <row r="8">
      <c r="A8" s="12">
        <f>Empleados!A8</f>
        <v/>
      </c>
      <c r="B8" s="12">
        <f>Empleados!B8</f>
        <v/>
      </c>
      <c r="C8" s="12">
        <f>Empleados!C8</f>
        <v/>
      </c>
      <c r="D8" s="12">
        <f>Empleados!D8</f>
        <v/>
      </c>
      <c r="E8" s="4">
        <f>Empleados!E8</f>
        <v/>
      </c>
      <c r="F8" s="4">
        <f>E8/Parametros!$B$8</f>
        <v/>
      </c>
      <c r="G8" s="4">
        <f>ROUND(E8/Parametros!$B$8*Novedades_Horas!C8,0)</f>
        <v/>
      </c>
      <c r="H8" s="4">
        <f>IF(AND(E8&lt;=Parametros!$B$7,Empleados!L8="Si"),Parametros!$B$6,0)</f>
        <v/>
      </c>
      <c r="I8" s="4">
        <f>ROUND(F8*(Novedades_Horas!D8*Parametros!$B$12+Novedades_Horas!E8*Parametros!$B$13+Novedades_Horas!F8*Parametros!$B$14+Novedades_Horas!G8*Parametros!$B$15),0)</f>
        <v/>
      </c>
      <c r="J8" s="4">
        <f>Novedades_Horas!I8</f>
        <v/>
      </c>
      <c r="K8" s="4">
        <f>SUM(G8:J8)</f>
        <v/>
      </c>
      <c r="L8" s="4">
        <f>ROUND((G8+I8+J8)*Parametros!$B$9,0)</f>
        <v/>
      </c>
      <c r="M8" s="4">
        <f>ROUND((G8+I8+J8)*Parametros!$B$10,0)</f>
        <v/>
      </c>
      <c r="N8" s="4">
        <f>IF(K8&gt;6000000,ROUND((K8-6000000)*0.1,0),0)</f>
        <v/>
      </c>
      <c r="O8" s="4">
        <f>Novedades_Horas!J8</f>
        <v/>
      </c>
      <c r="P8" s="4">
        <f>SUM(L8:O8)</f>
        <v/>
      </c>
      <c r="Q8" s="4">
        <f>K8-P8</f>
        <v/>
      </c>
      <c r="R8" s="4">
        <f>ROUND(K8+(G8+I8+J8)*0.205,0)</f>
        <v/>
      </c>
      <c r="S8" s="12">
        <f>IF(Q8&lt;0,"ERROR: Neto negativo",IF(E8&lt;Parametros!$B$5,"ERROR: Salario bajo",IF(E8&gt;Parametros!$B$11,"REVISAR: salario alto","OK")))</f>
        <v/>
      </c>
    </row>
    <row r="9">
      <c r="A9" s="12">
        <f>Empleados!A9</f>
        <v/>
      </c>
      <c r="B9" s="12">
        <f>Empleados!B9</f>
        <v/>
      </c>
      <c r="C9" s="12">
        <f>Empleados!C9</f>
        <v/>
      </c>
      <c r="D9" s="12">
        <f>Empleados!D9</f>
        <v/>
      </c>
      <c r="E9" s="4">
        <f>Empleados!E9</f>
        <v/>
      </c>
      <c r="F9" s="4">
        <f>E9/Parametros!$B$8</f>
        <v/>
      </c>
      <c r="G9" s="4">
        <f>ROUND(E9/Parametros!$B$8*Novedades_Horas!C9,0)</f>
        <v/>
      </c>
      <c r="H9" s="4">
        <f>IF(AND(E9&lt;=Parametros!$B$7,Empleados!L9="Si"),Parametros!$B$6,0)</f>
        <v/>
      </c>
      <c r="I9" s="4">
        <f>ROUND(F9*(Novedades_Horas!D9*Parametros!$B$12+Novedades_Horas!E9*Parametros!$B$13+Novedades_Horas!F9*Parametros!$B$14+Novedades_Horas!G9*Parametros!$B$15),0)</f>
        <v/>
      </c>
      <c r="J9" s="4">
        <f>Novedades_Horas!I9</f>
        <v/>
      </c>
      <c r="K9" s="4">
        <f>SUM(G9:J9)</f>
        <v/>
      </c>
      <c r="L9" s="4">
        <f>ROUND((G9+I9+J9)*Parametros!$B$9,0)</f>
        <v/>
      </c>
      <c r="M9" s="4">
        <f>ROUND((G9+I9+J9)*Parametros!$B$10,0)</f>
        <v/>
      </c>
      <c r="N9" s="4">
        <f>IF(K9&gt;6000000,ROUND((K9-6000000)*0.1,0),0)</f>
        <v/>
      </c>
      <c r="O9" s="4">
        <f>Novedades_Horas!J9</f>
        <v/>
      </c>
      <c r="P9" s="4">
        <f>SUM(L9:O9)</f>
        <v/>
      </c>
      <c r="Q9" s="4">
        <f>K9-P9</f>
        <v/>
      </c>
      <c r="R9" s="4">
        <f>ROUND(K9+(G9+I9+J9)*0.205,0)</f>
        <v/>
      </c>
      <c r="S9" s="12">
        <f>IF(Q9&lt;0,"ERROR: Neto negativo",IF(E9&lt;Parametros!$B$5,"ERROR: Salario bajo",IF(E9&gt;Parametros!$B$11,"REVISAR: salario alto","OK")))</f>
        <v/>
      </c>
    </row>
    <row r="10">
      <c r="A10" s="12">
        <f>Empleados!A10</f>
        <v/>
      </c>
      <c r="B10" s="12">
        <f>Empleados!B10</f>
        <v/>
      </c>
      <c r="C10" s="12">
        <f>Empleados!C10</f>
        <v/>
      </c>
      <c r="D10" s="12">
        <f>Empleados!D10</f>
        <v/>
      </c>
      <c r="E10" s="4">
        <f>Empleados!E10</f>
        <v/>
      </c>
      <c r="F10" s="4">
        <f>E10/Parametros!$B$8</f>
        <v/>
      </c>
      <c r="G10" s="4">
        <f>ROUND(E10/Parametros!$B$8*Novedades_Horas!C10,0)</f>
        <v/>
      </c>
      <c r="H10" s="4">
        <f>IF(AND(E10&lt;=Parametros!$B$7,Empleados!L10="Si"),Parametros!$B$6,0)</f>
        <v/>
      </c>
      <c r="I10" s="4">
        <f>ROUND(F10*(Novedades_Horas!D10*Parametros!$B$12+Novedades_Horas!E10*Parametros!$B$13+Novedades_Horas!F10*Parametros!$B$14+Novedades_Horas!G10*Parametros!$B$15),0)</f>
        <v/>
      </c>
      <c r="J10" s="4">
        <f>Novedades_Horas!I10</f>
        <v/>
      </c>
      <c r="K10" s="4">
        <f>SUM(G10:J10)</f>
        <v/>
      </c>
      <c r="L10" s="4">
        <f>ROUND((G10+I10+J10)*Parametros!$B$9,0)</f>
        <v/>
      </c>
      <c r="M10" s="4">
        <f>ROUND((G10+I10+J10)*Parametros!$B$10,0)</f>
        <v/>
      </c>
      <c r="N10" s="4">
        <f>IF(K10&gt;6000000,ROUND((K10-6000000)*0.1,0),0)</f>
        <v/>
      </c>
      <c r="O10" s="4">
        <f>Novedades_Horas!J10</f>
        <v/>
      </c>
      <c r="P10" s="4">
        <f>SUM(L10:O10)</f>
        <v/>
      </c>
      <c r="Q10" s="4">
        <f>K10-P10</f>
        <v/>
      </c>
      <c r="R10" s="4">
        <f>ROUND(K10+(G10+I10+J10)*0.205,0)</f>
        <v/>
      </c>
      <c r="S10" s="12">
        <f>IF(Q10&lt;0,"ERROR: Neto negativo",IF(E10&lt;Parametros!$B$5,"ERROR: Salario bajo",IF(E10&gt;Parametros!$B$11,"REVISAR: salario alto","OK")))</f>
        <v/>
      </c>
    </row>
    <row r="11">
      <c r="A11" s="12">
        <f>Empleados!A11</f>
        <v/>
      </c>
      <c r="B11" s="12">
        <f>Empleados!B11</f>
        <v/>
      </c>
      <c r="C11" s="12">
        <f>Empleados!C11</f>
        <v/>
      </c>
      <c r="D11" s="12">
        <f>Empleados!D11</f>
        <v/>
      </c>
      <c r="E11" s="4">
        <f>Empleados!E11</f>
        <v/>
      </c>
      <c r="F11" s="4">
        <f>E11/Parametros!$B$8</f>
        <v/>
      </c>
      <c r="G11" s="4">
        <f>ROUND(E11/Parametros!$B$8*Novedades_Horas!C11,0)</f>
        <v/>
      </c>
      <c r="H11" s="4">
        <f>IF(AND(E11&lt;=Parametros!$B$7,Empleados!L11="Si"),Parametros!$B$6,0)</f>
        <v/>
      </c>
      <c r="I11" s="4">
        <f>ROUND(F11*(Novedades_Horas!D11*Parametros!$B$12+Novedades_Horas!E11*Parametros!$B$13+Novedades_Horas!F11*Parametros!$B$14+Novedades_Horas!G11*Parametros!$B$15),0)</f>
        <v/>
      </c>
      <c r="J11" s="4">
        <f>Novedades_Horas!I11</f>
        <v/>
      </c>
      <c r="K11" s="4">
        <f>SUM(G11:J11)</f>
        <v/>
      </c>
      <c r="L11" s="4">
        <f>ROUND((G11+I11+J11)*Parametros!$B$9,0)</f>
        <v/>
      </c>
      <c r="M11" s="4">
        <f>ROUND((G11+I11+J11)*Parametros!$B$10,0)</f>
        <v/>
      </c>
      <c r="N11" s="4">
        <f>IF(K11&gt;6000000,ROUND((K11-6000000)*0.1,0),0)</f>
        <v/>
      </c>
      <c r="O11" s="4">
        <f>Novedades_Horas!J11</f>
        <v/>
      </c>
      <c r="P11" s="4">
        <f>SUM(L11:O11)</f>
        <v/>
      </c>
      <c r="Q11" s="4">
        <f>K11-P11</f>
        <v/>
      </c>
      <c r="R11" s="4">
        <f>ROUND(K11+(G11+I11+J11)*0.205,0)</f>
        <v/>
      </c>
      <c r="S11" s="12">
        <f>IF(Q11&lt;0,"ERROR: Neto negativo",IF(E11&lt;Parametros!$B$5,"ERROR: Salario bajo",IF(E11&gt;Parametros!$B$11,"REVISAR: salario alto","OK")))</f>
        <v/>
      </c>
    </row>
    <row r="12">
      <c r="A12" s="12">
        <f>Empleados!A12</f>
        <v/>
      </c>
      <c r="B12" s="12">
        <f>Empleados!B12</f>
        <v/>
      </c>
      <c r="C12" s="12">
        <f>Empleados!C12</f>
        <v/>
      </c>
      <c r="D12" s="12">
        <f>Empleados!D12</f>
        <v/>
      </c>
      <c r="E12" s="4">
        <f>Empleados!E12</f>
        <v/>
      </c>
      <c r="F12" s="4">
        <f>E12/Parametros!$B$8</f>
        <v/>
      </c>
      <c r="G12" s="4">
        <f>ROUND(E12/Parametros!$B$8*Novedades_Horas!C12,0)</f>
        <v/>
      </c>
      <c r="H12" s="4">
        <f>IF(AND(E12&lt;=Parametros!$B$7,Empleados!L12="Si"),Parametros!$B$6,0)</f>
        <v/>
      </c>
      <c r="I12" s="4">
        <f>ROUND(F12*(Novedades_Horas!D12*Parametros!$B$12+Novedades_Horas!E12*Parametros!$B$13+Novedades_Horas!F12*Parametros!$B$14+Novedades_Horas!G12*Parametros!$B$15),0)</f>
        <v/>
      </c>
      <c r="J12" s="4">
        <f>Novedades_Horas!I12</f>
        <v/>
      </c>
      <c r="K12" s="4">
        <f>SUM(G12:J12)</f>
        <v/>
      </c>
      <c r="L12" s="4">
        <f>ROUND((G12+I12+J12)*Parametros!$B$9,0)</f>
        <v/>
      </c>
      <c r="M12" s="4">
        <f>ROUND((G12+I12+J12)*Parametros!$B$10,0)</f>
        <v/>
      </c>
      <c r="N12" s="4">
        <f>IF(K12&gt;6000000,ROUND((K12-6000000)*0.1,0),0)</f>
        <v/>
      </c>
      <c r="O12" s="4">
        <f>Novedades_Horas!J12</f>
        <v/>
      </c>
      <c r="P12" s="4">
        <f>SUM(L12:O12)</f>
        <v/>
      </c>
      <c r="Q12" s="4">
        <f>K12-P12</f>
        <v/>
      </c>
      <c r="R12" s="4">
        <f>ROUND(K12+(G12+I12+J12)*0.205,0)</f>
        <v/>
      </c>
      <c r="S12" s="12">
        <f>IF(Q12&lt;0,"ERROR: Neto negativo",IF(E12&lt;Parametros!$B$5,"ERROR: Salario bajo",IF(E12&gt;Parametros!$B$11,"REVISAR: salario alto","OK")))</f>
        <v/>
      </c>
    </row>
    <row r="13">
      <c r="A13" s="12">
        <f>Empleados!A13</f>
        <v/>
      </c>
      <c r="B13" s="12">
        <f>Empleados!B13</f>
        <v/>
      </c>
      <c r="C13" s="12">
        <f>Empleados!C13</f>
        <v/>
      </c>
      <c r="D13" s="12">
        <f>Empleados!D13</f>
        <v/>
      </c>
      <c r="E13" s="4">
        <f>Empleados!E13</f>
        <v/>
      </c>
      <c r="F13" s="4">
        <f>E13/Parametros!$B$8</f>
        <v/>
      </c>
      <c r="G13" s="4">
        <f>ROUND(E13/Parametros!$B$8*Novedades_Horas!C13,0)</f>
        <v/>
      </c>
      <c r="H13" s="4">
        <f>IF(AND(E13&lt;=Parametros!$B$7,Empleados!L13="Si"),Parametros!$B$6,0)</f>
        <v/>
      </c>
      <c r="I13" s="4">
        <f>ROUND(F13*(Novedades_Horas!D13*Parametros!$B$12+Novedades_Horas!E13*Parametros!$B$13+Novedades_Horas!F13*Parametros!$B$14+Novedades_Horas!G13*Parametros!$B$15),0)</f>
        <v/>
      </c>
      <c r="J13" s="4">
        <f>Novedades_Horas!I13</f>
        <v/>
      </c>
      <c r="K13" s="4">
        <f>SUM(G13:J13)</f>
        <v/>
      </c>
      <c r="L13" s="4">
        <f>ROUND((G13+I13+J13)*Parametros!$B$9,0)</f>
        <v/>
      </c>
      <c r="M13" s="4">
        <f>ROUND((G13+I13+J13)*Parametros!$B$10,0)</f>
        <v/>
      </c>
      <c r="N13" s="4">
        <f>IF(K13&gt;6000000,ROUND((K13-6000000)*0.1,0),0)</f>
        <v/>
      </c>
      <c r="O13" s="4">
        <f>Novedades_Horas!J13</f>
        <v/>
      </c>
      <c r="P13" s="4">
        <f>SUM(L13:O13)</f>
        <v/>
      </c>
      <c r="Q13" s="4">
        <f>K13-P13</f>
        <v/>
      </c>
      <c r="R13" s="4">
        <f>ROUND(K13+(G13+I13+J13)*0.205,0)</f>
        <v/>
      </c>
      <c r="S13" s="12">
        <f>IF(Q13&lt;0,"ERROR: Neto negativo",IF(E13&lt;Parametros!$B$5,"ERROR: Salario bajo",IF(E13&gt;Parametros!$B$11,"REVISAR: salario alto","OK")))</f>
        <v/>
      </c>
    </row>
    <row r="14">
      <c r="A14" s="12">
        <f>Empleados!A14</f>
        <v/>
      </c>
      <c r="B14" s="12">
        <f>Empleados!B14</f>
        <v/>
      </c>
      <c r="C14" s="12">
        <f>Empleados!C14</f>
        <v/>
      </c>
      <c r="D14" s="12">
        <f>Empleados!D14</f>
        <v/>
      </c>
      <c r="E14" s="4">
        <f>Empleados!E14</f>
        <v/>
      </c>
      <c r="F14" s="4">
        <f>E14/Parametros!$B$8</f>
        <v/>
      </c>
      <c r="G14" s="4">
        <f>ROUND(E14/Parametros!$B$8*Novedades_Horas!C14,0)</f>
        <v/>
      </c>
      <c r="H14" s="4">
        <f>IF(AND(E14&lt;=Parametros!$B$7,Empleados!L14="Si"),Parametros!$B$6,0)</f>
        <v/>
      </c>
      <c r="I14" s="4">
        <f>ROUND(F14*(Novedades_Horas!D14*Parametros!$B$12+Novedades_Horas!E14*Parametros!$B$13+Novedades_Horas!F14*Parametros!$B$14+Novedades_Horas!G14*Parametros!$B$15),0)</f>
        <v/>
      </c>
      <c r="J14" s="4">
        <f>Novedades_Horas!I14</f>
        <v/>
      </c>
      <c r="K14" s="4">
        <f>SUM(G14:J14)</f>
        <v/>
      </c>
      <c r="L14" s="4">
        <f>ROUND((G14+I14+J14)*Parametros!$B$9,0)</f>
        <v/>
      </c>
      <c r="M14" s="4">
        <f>ROUND((G14+I14+J14)*Parametros!$B$10,0)</f>
        <v/>
      </c>
      <c r="N14" s="4">
        <f>IF(K14&gt;6000000,ROUND((K14-6000000)*0.1,0),0)</f>
        <v/>
      </c>
      <c r="O14" s="4">
        <f>Novedades_Horas!J14</f>
        <v/>
      </c>
      <c r="P14" s="4">
        <f>SUM(L14:O14)</f>
        <v/>
      </c>
      <c r="Q14" s="4">
        <f>K14-P14</f>
        <v/>
      </c>
      <c r="R14" s="4">
        <f>ROUND(K14+(G14+I14+J14)*0.205,0)</f>
        <v/>
      </c>
      <c r="S14" s="12">
        <f>IF(Q14&lt;0,"ERROR: Neto negativo",IF(E14&lt;Parametros!$B$5,"ERROR: Salario bajo",IF(E14&gt;Parametros!$B$11,"REVISAR: salario alto","OK")))</f>
        <v/>
      </c>
    </row>
    <row r="15">
      <c r="A15" s="12">
        <f>Empleados!A15</f>
        <v/>
      </c>
      <c r="B15" s="12">
        <f>Empleados!B15</f>
        <v/>
      </c>
      <c r="C15" s="12">
        <f>Empleados!C15</f>
        <v/>
      </c>
      <c r="D15" s="12">
        <f>Empleados!D15</f>
        <v/>
      </c>
      <c r="E15" s="4">
        <f>Empleados!E15</f>
        <v/>
      </c>
      <c r="F15" s="4">
        <f>E15/Parametros!$B$8</f>
        <v/>
      </c>
      <c r="G15" s="4">
        <f>ROUND(E15/Parametros!$B$8*Novedades_Horas!C15,0)</f>
        <v/>
      </c>
      <c r="H15" s="4">
        <f>IF(AND(E15&lt;=Parametros!$B$7,Empleados!L15="Si"),Parametros!$B$6,0)</f>
        <v/>
      </c>
      <c r="I15" s="4">
        <f>ROUND(F15*(Novedades_Horas!D15*Parametros!$B$12+Novedades_Horas!E15*Parametros!$B$13+Novedades_Horas!F15*Parametros!$B$14+Novedades_Horas!G15*Parametros!$B$15),0)</f>
        <v/>
      </c>
      <c r="J15" s="4">
        <f>Novedades_Horas!I15</f>
        <v/>
      </c>
      <c r="K15" s="4">
        <f>SUM(G15:J15)</f>
        <v/>
      </c>
      <c r="L15" s="4">
        <f>ROUND((G15+I15+J15)*Parametros!$B$9,0)</f>
        <v/>
      </c>
      <c r="M15" s="4">
        <f>ROUND((G15+I15+J15)*Parametros!$B$10,0)</f>
        <v/>
      </c>
      <c r="N15" s="4">
        <f>IF(K15&gt;6000000,ROUND((K15-6000000)*0.1,0),0)</f>
        <v/>
      </c>
      <c r="O15" s="4">
        <f>Novedades_Horas!J15</f>
        <v/>
      </c>
      <c r="P15" s="4">
        <f>SUM(L15:O15)</f>
        <v/>
      </c>
      <c r="Q15" s="4">
        <f>K15-P15</f>
        <v/>
      </c>
      <c r="R15" s="4">
        <f>ROUND(K15+(G15+I15+J15)*0.205,0)</f>
        <v/>
      </c>
      <c r="S15" s="12">
        <f>IF(Q15&lt;0,"ERROR: Neto negativo",IF(E15&lt;Parametros!$B$5,"ERROR: Salario bajo",IF(E15&gt;Parametros!$B$11,"REVISAR: salario alto","OK")))</f>
        <v/>
      </c>
    </row>
    <row r="16">
      <c r="A16" s="12">
        <f>Empleados!A16</f>
        <v/>
      </c>
      <c r="B16" s="12">
        <f>Empleados!B16</f>
        <v/>
      </c>
      <c r="C16" s="12">
        <f>Empleados!C16</f>
        <v/>
      </c>
      <c r="D16" s="12">
        <f>Empleados!D16</f>
        <v/>
      </c>
      <c r="E16" s="4">
        <f>Empleados!E16</f>
        <v/>
      </c>
      <c r="F16" s="4">
        <f>E16/Parametros!$B$8</f>
        <v/>
      </c>
      <c r="G16" s="4">
        <f>ROUND(E16/Parametros!$B$8*Novedades_Horas!C16,0)</f>
        <v/>
      </c>
      <c r="H16" s="4">
        <f>IF(AND(E16&lt;=Parametros!$B$7,Empleados!L16="Si"),Parametros!$B$6,0)</f>
        <v/>
      </c>
      <c r="I16" s="4">
        <f>ROUND(F16*(Novedades_Horas!D16*Parametros!$B$12+Novedades_Horas!E16*Parametros!$B$13+Novedades_Horas!F16*Parametros!$B$14+Novedades_Horas!G16*Parametros!$B$15),0)</f>
        <v/>
      </c>
      <c r="J16" s="4">
        <f>Novedades_Horas!I16</f>
        <v/>
      </c>
      <c r="K16" s="4">
        <f>SUM(G16:J16)</f>
        <v/>
      </c>
      <c r="L16" s="4">
        <f>ROUND((G16+I16+J16)*Parametros!$B$9,0)</f>
        <v/>
      </c>
      <c r="M16" s="4">
        <f>ROUND((G16+I16+J16)*Parametros!$B$10,0)</f>
        <v/>
      </c>
      <c r="N16" s="4">
        <f>IF(K16&gt;6000000,ROUND((K16-6000000)*0.1,0),0)</f>
        <v/>
      </c>
      <c r="O16" s="4">
        <f>Novedades_Horas!J16</f>
        <v/>
      </c>
      <c r="P16" s="4">
        <f>SUM(L16:O16)</f>
        <v/>
      </c>
      <c r="Q16" s="4">
        <f>K16-P16</f>
        <v/>
      </c>
      <c r="R16" s="4">
        <f>ROUND(K16+(G16+I16+J16)*0.205,0)</f>
        <v/>
      </c>
      <c r="S16" s="12">
        <f>IF(Q16&lt;0,"ERROR: Neto negativo",IF(E16&lt;Parametros!$B$5,"ERROR: Salario bajo",IF(E16&gt;Parametros!$B$11,"REVISAR: salario alto","OK")))</f>
        <v/>
      </c>
    </row>
    <row r="17">
      <c r="A17" s="12">
        <f>Empleados!A17</f>
        <v/>
      </c>
      <c r="B17" s="12">
        <f>Empleados!B17</f>
        <v/>
      </c>
      <c r="C17" s="12">
        <f>Empleados!C17</f>
        <v/>
      </c>
      <c r="D17" s="12">
        <f>Empleados!D17</f>
        <v/>
      </c>
      <c r="E17" s="4">
        <f>Empleados!E17</f>
        <v/>
      </c>
      <c r="F17" s="4">
        <f>E17/Parametros!$B$8</f>
        <v/>
      </c>
      <c r="G17" s="4">
        <f>ROUND(E17/Parametros!$B$8*Novedades_Horas!C17,0)</f>
        <v/>
      </c>
      <c r="H17" s="4">
        <f>IF(AND(E17&lt;=Parametros!$B$7,Empleados!L17="Si"),Parametros!$B$6,0)</f>
        <v/>
      </c>
      <c r="I17" s="4">
        <f>ROUND(F17*(Novedades_Horas!D17*Parametros!$B$12+Novedades_Horas!E17*Parametros!$B$13+Novedades_Horas!F17*Parametros!$B$14+Novedades_Horas!G17*Parametros!$B$15),0)</f>
        <v/>
      </c>
      <c r="J17" s="4">
        <f>Novedades_Horas!I17</f>
        <v/>
      </c>
      <c r="K17" s="4">
        <f>SUM(G17:J17)</f>
        <v/>
      </c>
      <c r="L17" s="4">
        <f>ROUND((G17+I17+J17)*Parametros!$B$9,0)</f>
        <v/>
      </c>
      <c r="M17" s="4">
        <f>ROUND((G17+I17+J17)*Parametros!$B$10,0)</f>
        <v/>
      </c>
      <c r="N17" s="4">
        <f>IF(K17&gt;6000000,ROUND((K17-6000000)*0.1,0),0)</f>
        <v/>
      </c>
      <c r="O17" s="4">
        <f>Novedades_Horas!J17</f>
        <v/>
      </c>
      <c r="P17" s="4">
        <f>SUM(L17:O17)</f>
        <v/>
      </c>
      <c r="Q17" s="4">
        <f>K17-P17</f>
        <v/>
      </c>
      <c r="R17" s="4">
        <f>ROUND(K17+(G17+I17+J17)*0.205,0)</f>
        <v/>
      </c>
      <c r="S17" s="12">
        <f>IF(Q17&lt;0,"ERROR: Neto negativo",IF(E17&lt;Parametros!$B$5,"ERROR: Salario bajo",IF(E17&gt;Parametros!$B$11,"REVISAR: salario alto","OK")))</f>
        <v/>
      </c>
    </row>
    <row r="18">
      <c r="A18" s="12">
        <f>Empleados!A18</f>
        <v/>
      </c>
      <c r="B18" s="12">
        <f>Empleados!B18</f>
        <v/>
      </c>
      <c r="C18" s="12">
        <f>Empleados!C18</f>
        <v/>
      </c>
      <c r="D18" s="12">
        <f>Empleados!D18</f>
        <v/>
      </c>
      <c r="E18" s="4">
        <f>Empleados!E18</f>
        <v/>
      </c>
      <c r="F18" s="4">
        <f>E18/Parametros!$B$8</f>
        <v/>
      </c>
      <c r="G18" s="4">
        <f>ROUND(E18/Parametros!$B$8*Novedades_Horas!C18,0)</f>
        <v/>
      </c>
      <c r="H18" s="4">
        <f>IF(AND(E18&lt;=Parametros!$B$7,Empleados!L18="Si"),Parametros!$B$6,0)</f>
        <v/>
      </c>
      <c r="I18" s="4">
        <f>ROUND(F18*(Novedades_Horas!D18*Parametros!$B$12+Novedades_Horas!E18*Parametros!$B$13+Novedades_Horas!F18*Parametros!$B$14+Novedades_Horas!G18*Parametros!$B$15),0)</f>
        <v/>
      </c>
      <c r="J18" s="4">
        <f>Novedades_Horas!I18</f>
        <v/>
      </c>
      <c r="K18" s="4">
        <f>SUM(G18:J18)</f>
        <v/>
      </c>
      <c r="L18" s="4">
        <f>ROUND((G18+I18+J18)*Parametros!$B$9,0)</f>
        <v/>
      </c>
      <c r="M18" s="4">
        <f>ROUND((G18+I18+J18)*Parametros!$B$10,0)</f>
        <v/>
      </c>
      <c r="N18" s="4">
        <f>IF(K18&gt;6000000,ROUND((K18-6000000)*0.1,0),0)</f>
        <v/>
      </c>
      <c r="O18" s="4">
        <f>Novedades_Horas!J18</f>
        <v/>
      </c>
      <c r="P18" s="4">
        <f>SUM(L18:O18)</f>
        <v/>
      </c>
      <c r="Q18" s="4">
        <f>K18-P18</f>
        <v/>
      </c>
      <c r="R18" s="4">
        <f>ROUND(K18+(G18+I18+J18)*0.205,0)</f>
        <v/>
      </c>
      <c r="S18" s="12">
        <f>IF(Q18&lt;0,"ERROR: Neto negativo",IF(E18&lt;Parametros!$B$5,"ERROR: Salario bajo",IF(E18&gt;Parametros!$B$11,"REVISAR: salario alto","OK")))</f>
        <v/>
      </c>
    </row>
    <row r="19">
      <c r="A19" s="12">
        <f>Empleados!A19</f>
        <v/>
      </c>
      <c r="B19" s="12">
        <f>Empleados!B19</f>
        <v/>
      </c>
      <c r="C19" s="12">
        <f>Empleados!C19</f>
        <v/>
      </c>
      <c r="D19" s="12">
        <f>Empleados!D19</f>
        <v/>
      </c>
      <c r="E19" s="4">
        <f>Empleados!E19</f>
        <v/>
      </c>
      <c r="F19" s="4">
        <f>E19/Parametros!$B$8</f>
        <v/>
      </c>
      <c r="G19" s="4">
        <f>ROUND(E19/Parametros!$B$8*Novedades_Horas!C19,0)</f>
        <v/>
      </c>
      <c r="H19" s="4">
        <f>IF(AND(E19&lt;=Parametros!$B$7,Empleados!L19="Si"),Parametros!$B$6,0)</f>
        <v/>
      </c>
      <c r="I19" s="4">
        <f>ROUND(F19*(Novedades_Horas!D19*Parametros!$B$12+Novedades_Horas!E19*Parametros!$B$13+Novedades_Horas!F19*Parametros!$B$14+Novedades_Horas!G19*Parametros!$B$15),0)</f>
        <v/>
      </c>
      <c r="J19" s="4">
        <f>Novedades_Horas!I19</f>
        <v/>
      </c>
      <c r="K19" s="4">
        <f>SUM(G19:J19)</f>
        <v/>
      </c>
      <c r="L19" s="4">
        <f>ROUND((G19+I19+J19)*Parametros!$B$9,0)</f>
        <v/>
      </c>
      <c r="M19" s="4">
        <f>ROUND((G19+I19+J19)*Parametros!$B$10,0)</f>
        <v/>
      </c>
      <c r="N19" s="4">
        <f>IF(K19&gt;6000000,ROUND((K19-6000000)*0.1,0),0)</f>
        <v/>
      </c>
      <c r="O19" s="4">
        <f>Novedades_Horas!J19</f>
        <v/>
      </c>
      <c r="P19" s="4">
        <f>SUM(L19:O19)</f>
        <v/>
      </c>
      <c r="Q19" s="4">
        <f>K19-P19</f>
        <v/>
      </c>
      <c r="R19" s="4">
        <f>ROUND(K19+(G19+I19+J19)*0.205,0)</f>
        <v/>
      </c>
      <c r="S19" s="12">
        <f>IF(Q19&lt;0,"ERROR: Neto negativo",IF(E19&lt;Parametros!$B$5,"ERROR: Salario bajo",IF(E19&gt;Parametros!$B$11,"REVISAR: salario alto","OK")))</f>
        <v/>
      </c>
    </row>
    <row r="20">
      <c r="A20" s="12">
        <f>Empleados!A20</f>
        <v/>
      </c>
      <c r="B20" s="12">
        <f>Empleados!B20</f>
        <v/>
      </c>
      <c r="C20" s="12">
        <f>Empleados!C20</f>
        <v/>
      </c>
      <c r="D20" s="12">
        <f>Empleados!D20</f>
        <v/>
      </c>
      <c r="E20" s="4">
        <f>Empleados!E20</f>
        <v/>
      </c>
      <c r="F20" s="4">
        <f>E20/Parametros!$B$8</f>
        <v/>
      </c>
      <c r="G20" s="4">
        <f>ROUND(E20/Parametros!$B$8*Novedades_Horas!C20,0)</f>
        <v/>
      </c>
      <c r="H20" s="4">
        <f>IF(AND(E20&lt;=Parametros!$B$7,Empleados!L20="Si"),Parametros!$B$6,0)</f>
        <v/>
      </c>
      <c r="I20" s="4">
        <f>ROUND(F20*(Novedades_Horas!D20*Parametros!$B$12+Novedades_Horas!E20*Parametros!$B$13+Novedades_Horas!F20*Parametros!$B$14+Novedades_Horas!G20*Parametros!$B$15),0)</f>
        <v/>
      </c>
      <c r="J20" s="4">
        <f>Novedades_Horas!I20</f>
        <v/>
      </c>
      <c r="K20" s="4">
        <f>SUM(G20:J20)</f>
        <v/>
      </c>
      <c r="L20" s="4">
        <f>ROUND((G20+I20+J20)*Parametros!$B$9,0)</f>
        <v/>
      </c>
      <c r="M20" s="4">
        <f>ROUND((G20+I20+J20)*Parametros!$B$10,0)</f>
        <v/>
      </c>
      <c r="N20" s="4">
        <f>IF(K20&gt;6000000,ROUND((K20-6000000)*0.1,0),0)</f>
        <v/>
      </c>
      <c r="O20" s="4">
        <f>Novedades_Horas!J20</f>
        <v/>
      </c>
      <c r="P20" s="4">
        <f>SUM(L20:O20)</f>
        <v/>
      </c>
      <c r="Q20" s="4">
        <f>K20-P20</f>
        <v/>
      </c>
      <c r="R20" s="4">
        <f>ROUND(K20+(G20+I20+J20)*0.205,0)</f>
        <v/>
      </c>
      <c r="S20" s="12">
        <f>IF(Q20&lt;0,"ERROR: Neto negativo",IF(E20&lt;Parametros!$B$5,"ERROR: Salario bajo",IF(E20&gt;Parametros!$B$11,"REVISAR: salario alto","OK")))</f>
        <v/>
      </c>
    </row>
    <row r="21">
      <c r="A21" s="12">
        <f>Empleados!A21</f>
        <v/>
      </c>
      <c r="B21" s="12">
        <f>Empleados!B21</f>
        <v/>
      </c>
      <c r="C21" s="12">
        <f>Empleados!C21</f>
        <v/>
      </c>
      <c r="D21" s="12">
        <f>Empleados!D21</f>
        <v/>
      </c>
      <c r="E21" s="4">
        <f>Empleados!E21</f>
        <v/>
      </c>
      <c r="F21" s="4">
        <f>E21/Parametros!$B$8</f>
        <v/>
      </c>
      <c r="G21" s="4">
        <f>ROUND(E21/Parametros!$B$8*Novedades_Horas!C21,0)</f>
        <v/>
      </c>
      <c r="H21" s="4">
        <f>IF(AND(E21&lt;=Parametros!$B$7,Empleados!L21="Si"),Parametros!$B$6,0)</f>
        <v/>
      </c>
      <c r="I21" s="4">
        <f>ROUND(F21*(Novedades_Horas!D21*Parametros!$B$12+Novedades_Horas!E21*Parametros!$B$13+Novedades_Horas!F21*Parametros!$B$14+Novedades_Horas!G21*Parametros!$B$15),0)</f>
        <v/>
      </c>
      <c r="J21" s="4">
        <f>Novedades_Horas!I21</f>
        <v/>
      </c>
      <c r="K21" s="4">
        <f>SUM(G21:J21)</f>
        <v/>
      </c>
      <c r="L21" s="4">
        <f>ROUND((G21+I21+J21)*Parametros!$B$9,0)</f>
        <v/>
      </c>
      <c r="M21" s="4">
        <f>ROUND((G21+I21+J21)*Parametros!$B$10,0)</f>
        <v/>
      </c>
      <c r="N21" s="4">
        <f>IF(K21&gt;6000000,ROUND((K21-6000000)*0.1,0),0)</f>
        <v/>
      </c>
      <c r="O21" s="4">
        <f>Novedades_Horas!J21</f>
        <v/>
      </c>
      <c r="P21" s="4">
        <f>SUM(L21:O21)</f>
        <v/>
      </c>
      <c r="Q21" s="4">
        <f>K21-P21</f>
        <v/>
      </c>
      <c r="R21" s="4">
        <f>ROUND(K21+(G21+I21+J21)*0.205,0)</f>
        <v/>
      </c>
      <c r="S21" s="12">
        <f>IF(Q21&lt;0,"ERROR: Neto negativo",IF(E21&lt;Parametros!$B$5,"ERROR: Salario bajo",IF(E21&gt;Parametros!$B$11,"REVISAR: salario alto","OK")))</f>
        <v/>
      </c>
    </row>
    <row r="22">
      <c r="A22" s="12">
        <f>Empleados!A22</f>
        <v/>
      </c>
      <c r="B22" s="12">
        <f>Empleados!B22</f>
        <v/>
      </c>
      <c r="C22" s="12">
        <f>Empleados!C22</f>
        <v/>
      </c>
      <c r="D22" s="12">
        <f>Empleados!D22</f>
        <v/>
      </c>
      <c r="E22" s="4">
        <f>Empleados!E22</f>
        <v/>
      </c>
      <c r="F22" s="4">
        <f>E22/Parametros!$B$8</f>
        <v/>
      </c>
      <c r="G22" s="4">
        <f>ROUND(E22/Parametros!$B$8*Novedades_Horas!C22,0)</f>
        <v/>
      </c>
      <c r="H22" s="4">
        <f>IF(AND(E22&lt;=Parametros!$B$7,Empleados!L22="Si"),Parametros!$B$6,0)</f>
        <v/>
      </c>
      <c r="I22" s="4">
        <f>ROUND(F22*(Novedades_Horas!D22*Parametros!$B$12+Novedades_Horas!E22*Parametros!$B$13+Novedades_Horas!F22*Parametros!$B$14+Novedades_Horas!G22*Parametros!$B$15),0)</f>
        <v/>
      </c>
      <c r="J22" s="4">
        <f>Novedades_Horas!I22</f>
        <v/>
      </c>
      <c r="K22" s="4">
        <f>SUM(G22:J22)</f>
        <v/>
      </c>
      <c r="L22" s="4">
        <f>ROUND((G22+I22+J22)*Parametros!$B$9,0)</f>
        <v/>
      </c>
      <c r="M22" s="4">
        <f>ROUND((G22+I22+J22)*Parametros!$B$10,0)</f>
        <v/>
      </c>
      <c r="N22" s="4">
        <f>IF(K22&gt;6000000,ROUND((K22-6000000)*0.1,0),0)</f>
        <v/>
      </c>
      <c r="O22" s="4">
        <f>Novedades_Horas!J22</f>
        <v/>
      </c>
      <c r="P22" s="4">
        <f>SUM(L22:O22)</f>
        <v/>
      </c>
      <c r="Q22" s="4">
        <f>K22-P22</f>
        <v/>
      </c>
      <c r="R22" s="4">
        <f>ROUND(K22+(G22+I22+J22)*0.205,0)</f>
        <v/>
      </c>
      <c r="S22" s="12">
        <f>IF(Q22&lt;0,"ERROR: Neto negativo",IF(E22&lt;Parametros!$B$5,"ERROR: Salario bajo",IF(E22&gt;Parametros!$B$11,"REVISAR: salario alto","OK")))</f>
        <v/>
      </c>
    </row>
    <row r="23">
      <c r="A23" s="12">
        <f>Empleados!A23</f>
        <v/>
      </c>
      <c r="B23" s="12">
        <f>Empleados!B23</f>
        <v/>
      </c>
      <c r="C23" s="12">
        <f>Empleados!C23</f>
        <v/>
      </c>
      <c r="D23" s="12">
        <f>Empleados!D23</f>
        <v/>
      </c>
      <c r="E23" s="4">
        <f>Empleados!E23</f>
        <v/>
      </c>
      <c r="F23" s="4">
        <f>E23/Parametros!$B$8</f>
        <v/>
      </c>
      <c r="G23" s="4">
        <f>ROUND(E23/Parametros!$B$8*Novedades_Horas!C23,0)</f>
        <v/>
      </c>
      <c r="H23" s="4">
        <f>IF(AND(E23&lt;=Parametros!$B$7,Empleados!L23="Si"),Parametros!$B$6,0)</f>
        <v/>
      </c>
      <c r="I23" s="4">
        <f>ROUND(F23*(Novedades_Horas!D23*Parametros!$B$12+Novedades_Horas!E23*Parametros!$B$13+Novedades_Horas!F23*Parametros!$B$14+Novedades_Horas!G23*Parametros!$B$15),0)</f>
        <v/>
      </c>
      <c r="J23" s="4">
        <f>Novedades_Horas!I23</f>
        <v/>
      </c>
      <c r="K23" s="4">
        <f>SUM(G23:J23)</f>
        <v/>
      </c>
      <c r="L23" s="4">
        <f>ROUND((G23+I23+J23)*Parametros!$B$9,0)</f>
        <v/>
      </c>
      <c r="M23" s="4">
        <f>ROUND((G23+I23+J23)*Parametros!$B$10,0)</f>
        <v/>
      </c>
      <c r="N23" s="4">
        <f>IF(K23&gt;6000000,ROUND((K23-6000000)*0.1,0),0)</f>
        <v/>
      </c>
      <c r="O23" s="4">
        <f>Novedades_Horas!J23</f>
        <v/>
      </c>
      <c r="P23" s="4">
        <f>SUM(L23:O23)</f>
        <v/>
      </c>
      <c r="Q23" s="4">
        <f>K23-P23</f>
        <v/>
      </c>
      <c r="R23" s="4">
        <f>ROUND(K23+(G23+I23+J23)*0.205,0)</f>
        <v/>
      </c>
      <c r="S23" s="12">
        <f>IF(Q23&lt;0,"ERROR: Neto negativo",IF(E23&lt;Parametros!$B$5,"ERROR: Salario bajo",IF(E23&gt;Parametros!$B$11,"REVISAR: salario alto","OK")))</f>
        <v/>
      </c>
    </row>
    <row r="24">
      <c r="A24" s="12">
        <f>Empleados!A24</f>
        <v/>
      </c>
      <c r="B24" s="12">
        <f>Empleados!B24</f>
        <v/>
      </c>
      <c r="C24" s="12">
        <f>Empleados!C24</f>
        <v/>
      </c>
      <c r="D24" s="12">
        <f>Empleados!D24</f>
        <v/>
      </c>
      <c r="E24" s="4">
        <f>Empleados!E24</f>
        <v/>
      </c>
      <c r="F24" s="4">
        <f>E24/Parametros!$B$8</f>
        <v/>
      </c>
      <c r="G24" s="4">
        <f>ROUND(E24/Parametros!$B$8*Novedades_Horas!C24,0)</f>
        <v/>
      </c>
      <c r="H24" s="4">
        <f>IF(AND(E24&lt;=Parametros!$B$7,Empleados!L24="Si"),Parametros!$B$6,0)</f>
        <v/>
      </c>
      <c r="I24" s="4">
        <f>ROUND(F24*(Novedades_Horas!D24*Parametros!$B$12+Novedades_Horas!E24*Parametros!$B$13+Novedades_Horas!F24*Parametros!$B$14+Novedades_Horas!G24*Parametros!$B$15),0)</f>
        <v/>
      </c>
      <c r="J24" s="4">
        <f>Novedades_Horas!I24</f>
        <v/>
      </c>
      <c r="K24" s="4">
        <f>SUM(G24:J24)</f>
        <v/>
      </c>
      <c r="L24" s="4">
        <f>ROUND((G24+I24+J24)*Parametros!$B$9,0)</f>
        <v/>
      </c>
      <c r="M24" s="4">
        <f>ROUND((G24+I24+J24)*Parametros!$B$10,0)</f>
        <v/>
      </c>
      <c r="N24" s="4">
        <f>IF(K24&gt;6000000,ROUND((K24-6000000)*0.1,0),0)</f>
        <v/>
      </c>
      <c r="O24" s="4">
        <f>Novedades_Horas!J24</f>
        <v/>
      </c>
      <c r="P24" s="4">
        <f>SUM(L24:O24)</f>
        <v/>
      </c>
      <c r="Q24" s="4">
        <f>K24-P24</f>
        <v/>
      </c>
      <c r="R24" s="4">
        <f>ROUND(K24+(G24+I24+J24)*0.205,0)</f>
        <v/>
      </c>
      <c r="S24" s="12">
        <f>IF(Q24&lt;0,"ERROR: Neto negativo",IF(E24&lt;Parametros!$B$5,"ERROR: Salario bajo",IF(E24&gt;Parametros!$B$11,"REVISAR: salario alto","OK")))</f>
        <v/>
      </c>
    </row>
    <row r="25">
      <c r="A25" s="12">
        <f>Empleados!A25</f>
        <v/>
      </c>
      <c r="B25" s="12">
        <f>Empleados!B25</f>
        <v/>
      </c>
      <c r="C25" s="12">
        <f>Empleados!C25</f>
        <v/>
      </c>
      <c r="D25" s="12">
        <f>Empleados!D25</f>
        <v/>
      </c>
      <c r="E25" s="4">
        <f>Empleados!E25</f>
        <v/>
      </c>
      <c r="F25" s="4">
        <f>E25/Parametros!$B$8</f>
        <v/>
      </c>
      <c r="G25" s="4">
        <f>ROUND(E25/Parametros!$B$8*Novedades_Horas!C25,0)</f>
        <v/>
      </c>
      <c r="H25" s="4">
        <f>IF(AND(E25&lt;=Parametros!$B$7,Empleados!L25="Si"),Parametros!$B$6,0)</f>
        <v/>
      </c>
      <c r="I25" s="4">
        <f>ROUND(F25*(Novedades_Horas!D25*Parametros!$B$12+Novedades_Horas!E25*Parametros!$B$13+Novedades_Horas!F25*Parametros!$B$14+Novedades_Horas!G25*Parametros!$B$15),0)</f>
        <v/>
      </c>
      <c r="J25" s="4">
        <f>Novedades_Horas!I25</f>
        <v/>
      </c>
      <c r="K25" s="4">
        <f>SUM(G25:J25)</f>
        <v/>
      </c>
      <c r="L25" s="4">
        <f>ROUND((G25+I25+J25)*Parametros!$B$9,0)</f>
        <v/>
      </c>
      <c r="M25" s="4">
        <f>ROUND((G25+I25+J25)*Parametros!$B$10,0)</f>
        <v/>
      </c>
      <c r="N25" s="4">
        <f>IF(K25&gt;6000000,ROUND((K25-6000000)*0.1,0),0)</f>
        <v/>
      </c>
      <c r="O25" s="4">
        <f>Novedades_Horas!J25</f>
        <v/>
      </c>
      <c r="P25" s="4">
        <f>SUM(L25:O25)</f>
        <v/>
      </c>
      <c r="Q25" s="4">
        <f>K25-P25</f>
        <v/>
      </c>
      <c r="R25" s="4">
        <f>ROUND(K25+(G25+I25+J25)*0.205,0)</f>
        <v/>
      </c>
      <c r="S25" s="12">
        <f>IF(Q25&lt;0,"ERROR: Neto negativo",IF(E25&lt;Parametros!$B$5,"ERROR: Salario bajo",IF(E25&gt;Parametros!$B$11,"REVISAR: salario alto","OK")))</f>
        <v/>
      </c>
    </row>
    <row r="26">
      <c r="A26" s="12">
        <f>Empleados!A26</f>
        <v/>
      </c>
      <c r="B26" s="12">
        <f>Empleados!B26</f>
        <v/>
      </c>
      <c r="C26" s="12">
        <f>Empleados!C26</f>
        <v/>
      </c>
      <c r="D26" s="12">
        <f>Empleados!D26</f>
        <v/>
      </c>
      <c r="E26" s="4">
        <f>Empleados!E26</f>
        <v/>
      </c>
      <c r="F26" s="4">
        <f>E26/Parametros!$B$8</f>
        <v/>
      </c>
      <c r="G26" s="4">
        <f>ROUND(E26/Parametros!$B$8*Novedades_Horas!C26,0)</f>
        <v/>
      </c>
      <c r="H26" s="4">
        <f>IF(AND(E26&lt;=Parametros!$B$7,Empleados!L26="Si"),Parametros!$B$6,0)</f>
        <v/>
      </c>
      <c r="I26" s="4">
        <f>ROUND(F26*(Novedades_Horas!D26*Parametros!$B$12+Novedades_Horas!E26*Parametros!$B$13+Novedades_Horas!F26*Parametros!$B$14+Novedades_Horas!G26*Parametros!$B$15),0)</f>
        <v/>
      </c>
      <c r="J26" s="4">
        <f>Novedades_Horas!I26</f>
        <v/>
      </c>
      <c r="K26" s="4">
        <f>SUM(G26:J26)</f>
        <v/>
      </c>
      <c r="L26" s="4">
        <f>ROUND((G26+I26+J26)*Parametros!$B$9,0)</f>
        <v/>
      </c>
      <c r="M26" s="4">
        <f>ROUND((G26+I26+J26)*Parametros!$B$10,0)</f>
        <v/>
      </c>
      <c r="N26" s="4">
        <f>IF(K26&gt;6000000,ROUND((K26-6000000)*0.1,0),0)</f>
        <v/>
      </c>
      <c r="O26" s="4">
        <f>Novedades_Horas!J26</f>
        <v/>
      </c>
      <c r="P26" s="4">
        <f>SUM(L26:O26)</f>
        <v/>
      </c>
      <c r="Q26" s="4">
        <f>K26-P26</f>
        <v/>
      </c>
      <c r="R26" s="4">
        <f>ROUND(K26+(G26+I26+J26)*0.205,0)</f>
        <v/>
      </c>
      <c r="S26" s="12">
        <f>IF(Q26&lt;0,"ERROR: Neto negativo",IF(E26&lt;Parametros!$B$5,"ERROR: Salario bajo",IF(E26&gt;Parametros!$B$11,"REVISAR: salario alto","OK")))</f>
        <v/>
      </c>
    </row>
    <row r="27">
      <c r="A27" s="12">
        <f>Empleados!A27</f>
        <v/>
      </c>
      <c r="B27" s="12">
        <f>Empleados!B27</f>
        <v/>
      </c>
      <c r="C27" s="12">
        <f>Empleados!C27</f>
        <v/>
      </c>
      <c r="D27" s="12">
        <f>Empleados!D27</f>
        <v/>
      </c>
      <c r="E27" s="4">
        <f>Empleados!E27</f>
        <v/>
      </c>
      <c r="F27" s="4">
        <f>E27/Parametros!$B$8</f>
        <v/>
      </c>
      <c r="G27" s="4">
        <f>ROUND(E27/Parametros!$B$8*Novedades_Horas!C27,0)</f>
        <v/>
      </c>
      <c r="H27" s="4">
        <f>IF(AND(E27&lt;=Parametros!$B$7,Empleados!L27="Si"),Parametros!$B$6,0)</f>
        <v/>
      </c>
      <c r="I27" s="4">
        <f>ROUND(F27*(Novedades_Horas!D27*Parametros!$B$12+Novedades_Horas!E27*Parametros!$B$13+Novedades_Horas!F27*Parametros!$B$14+Novedades_Horas!G27*Parametros!$B$15),0)</f>
        <v/>
      </c>
      <c r="J27" s="4">
        <f>Novedades_Horas!I27</f>
        <v/>
      </c>
      <c r="K27" s="4">
        <f>SUM(G27:J27)</f>
        <v/>
      </c>
      <c r="L27" s="4">
        <f>ROUND((G27+I27+J27)*Parametros!$B$9,0)</f>
        <v/>
      </c>
      <c r="M27" s="4">
        <f>ROUND((G27+I27+J27)*Parametros!$B$10,0)</f>
        <v/>
      </c>
      <c r="N27" s="4">
        <f>IF(K27&gt;6000000,ROUND((K27-6000000)*0.1,0),0)</f>
        <v/>
      </c>
      <c r="O27" s="4">
        <f>Novedades_Horas!J27</f>
        <v/>
      </c>
      <c r="P27" s="4">
        <f>SUM(L27:O27)</f>
        <v/>
      </c>
      <c r="Q27" s="4">
        <f>K27-P27</f>
        <v/>
      </c>
      <c r="R27" s="4">
        <f>ROUND(K27+(G27+I27+J27)*0.205,0)</f>
        <v/>
      </c>
      <c r="S27" s="12">
        <f>IF(Q27&lt;0,"ERROR: Neto negativo",IF(E27&lt;Parametros!$B$5,"ERROR: Salario bajo",IF(E27&gt;Parametros!$B$11,"REVISAR: salario alto","OK")))</f>
        <v/>
      </c>
    </row>
    <row r="28">
      <c r="A28" s="12">
        <f>Empleados!A28</f>
        <v/>
      </c>
      <c r="B28" s="12">
        <f>Empleados!B28</f>
        <v/>
      </c>
      <c r="C28" s="12">
        <f>Empleados!C28</f>
        <v/>
      </c>
      <c r="D28" s="12">
        <f>Empleados!D28</f>
        <v/>
      </c>
      <c r="E28" s="4">
        <f>Empleados!E28</f>
        <v/>
      </c>
      <c r="F28" s="4">
        <f>E28/Parametros!$B$8</f>
        <v/>
      </c>
      <c r="G28" s="4">
        <f>ROUND(E28/Parametros!$B$8*Novedades_Horas!C28,0)</f>
        <v/>
      </c>
      <c r="H28" s="4">
        <f>IF(AND(E28&lt;=Parametros!$B$7,Empleados!L28="Si"),Parametros!$B$6,0)</f>
        <v/>
      </c>
      <c r="I28" s="4">
        <f>ROUND(F28*(Novedades_Horas!D28*Parametros!$B$12+Novedades_Horas!E28*Parametros!$B$13+Novedades_Horas!F28*Parametros!$B$14+Novedades_Horas!G28*Parametros!$B$15),0)</f>
        <v/>
      </c>
      <c r="J28" s="4">
        <f>Novedades_Horas!I28</f>
        <v/>
      </c>
      <c r="K28" s="4">
        <f>SUM(G28:J28)</f>
        <v/>
      </c>
      <c r="L28" s="4">
        <f>ROUND((G28+I28+J28)*Parametros!$B$9,0)</f>
        <v/>
      </c>
      <c r="M28" s="4">
        <f>ROUND((G28+I28+J28)*Parametros!$B$10,0)</f>
        <v/>
      </c>
      <c r="N28" s="4">
        <f>IF(K28&gt;6000000,ROUND((K28-6000000)*0.1,0),0)</f>
        <v/>
      </c>
      <c r="O28" s="4">
        <f>Novedades_Horas!J28</f>
        <v/>
      </c>
      <c r="P28" s="4">
        <f>SUM(L28:O28)</f>
        <v/>
      </c>
      <c r="Q28" s="4">
        <f>K28-P28</f>
        <v/>
      </c>
      <c r="R28" s="4">
        <f>ROUND(K28+(G28+I28+J28)*0.205,0)</f>
        <v/>
      </c>
      <c r="S28" s="12">
        <f>IF(Q28&lt;0,"ERROR: Neto negativo",IF(E28&lt;Parametros!$B$5,"ERROR: Salario bajo",IF(E28&gt;Parametros!$B$11,"REVISAR: salario alto","OK")))</f>
        <v/>
      </c>
    </row>
    <row r="29">
      <c r="A29" s="12">
        <f>Empleados!A29</f>
        <v/>
      </c>
      <c r="B29" s="12">
        <f>Empleados!B29</f>
        <v/>
      </c>
      <c r="C29" s="12">
        <f>Empleados!C29</f>
        <v/>
      </c>
      <c r="D29" s="12">
        <f>Empleados!D29</f>
        <v/>
      </c>
      <c r="E29" s="4">
        <f>Empleados!E29</f>
        <v/>
      </c>
      <c r="F29" s="4">
        <f>E29/Parametros!$B$8</f>
        <v/>
      </c>
      <c r="G29" s="4">
        <f>ROUND(E29/Parametros!$B$8*Novedades_Horas!C29,0)</f>
        <v/>
      </c>
      <c r="H29" s="4">
        <f>IF(AND(E29&lt;=Parametros!$B$7,Empleados!L29="Si"),Parametros!$B$6,0)</f>
        <v/>
      </c>
      <c r="I29" s="4">
        <f>ROUND(F29*(Novedades_Horas!D29*Parametros!$B$12+Novedades_Horas!E29*Parametros!$B$13+Novedades_Horas!F29*Parametros!$B$14+Novedades_Horas!G29*Parametros!$B$15),0)</f>
        <v/>
      </c>
      <c r="J29" s="4">
        <f>Novedades_Horas!I29</f>
        <v/>
      </c>
      <c r="K29" s="4">
        <f>SUM(G29:J29)</f>
        <v/>
      </c>
      <c r="L29" s="4">
        <f>ROUND((G29+I29+J29)*Parametros!$B$9,0)</f>
        <v/>
      </c>
      <c r="M29" s="4">
        <f>ROUND((G29+I29+J29)*Parametros!$B$10,0)</f>
        <v/>
      </c>
      <c r="N29" s="4">
        <f>IF(K29&gt;6000000,ROUND((K29-6000000)*0.1,0),0)</f>
        <v/>
      </c>
      <c r="O29" s="4">
        <f>Novedades_Horas!J29</f>
        <v/>
      </c>
      <c r="P29" s="4">
        <f>SUM(L29:O29)</f>
        <v/>
      </c>
      <c r="Q29" s="4">
        <f>K29-P29</f>
        <v/>
      </c>
      <c r="R29" s="4">
        <f>ROUND(K29+(G29+I29+J29)*0.205,0)</f>
        <v/>
      </c>
      <c r="S29" s="12">
        <f>IF(Q29&lt;0,"ERROR: Neto negativo",IF(E29&lt;Parametros!$B$5,"ERROR: Salario bajo",IF(E29&gt;Parametros!$B$11,"REVISAR: salario alto","OK")))</f>
        <v/>
      </c>
    </row>
    <row r="30">
      <c r="A30" s="12">
        <f>Empleados!A30</f>
        <v/>
      </c>
      <c r="B30" s="12">
        <f>Empleados!B30</f>
        <v/>
      </c>
      <c r="C30" s="12">
        <f>Empleados!C30</f>
        <v/>
      </c>
      <c r="D30" s="12">
        <f>Empleados!D30</f>
        <v/>
      </c>
      <c r="E30" s="4">
        <f>Empleados!E30</f>
        <v/>
      </c>
      <c r="F30" s="4">
        <f>E30/Parametros!$B$8</f>
        <v/>
      </c>
      <c r="G30" s="4">
        <f>ROUND(E30/Parametros!$B$8*Novedades_Horas!C30,0)</f>
        <v/>
      </c>
      <c r="H30" s="4">
        <f>IF(AND(E30&lt;=Parametros!$B$7,Empleados!L30="Si"),Parametros!$B$6,0)</f>
        <v/>
      </c>
      <c r="I30" s="4">
        <f>ROUND(F30*(Novedades_Horas!D30*Parametros!$B$12+Novedades_Horas!E30*Parametros!$B$13+Novedades_Horas!F30*Parametros!$B$14+Novedades_Horas!G30*Parametros!$B$15),0)</f>
        <v/>
      </c>
      <c r="J30" s="4">
        <f>Novedades_Horas!I30</f>
        <v/>
      </c>
      <c r="K30" s="4">
        <f>SUM(G30:J30)</f>
        <v/>
      </c>
      <c r="L30" s="4">
        <f>ROUND((G30+I30+J30)*Parametros!$B$9,0)</f>
        <v/>
      </c>
      <c r="M30" s="4">
        <f>ROUND((G30+I30+J30)*Parametros!$B$10,0)</f>
        <v/>
      </c>
      <c r="N30" s="4">
        <f>IF(K30&gt;6000000,ROUND((K30-6000000)*0.1,0),0)</f>
        <v/>
      </c>
      <c r="O30" s="4">
        <f>Novedades_Horas!J30</f>
        <v/>
      </c>
      <c r="P30" s="4">
        <f>SUM(L30:O30)</f>
        <v/>
      </c>
      <c r="Q30" s="4">
        <f>K30-P30</f>
        <v/>
      </c>
      <c r="R30" s="4">
        <f>ROUND(K30+(G30+I30+J30)*0.205,0)</f>
        <v/>
      </c>
      <c r="S30" s="12">
        <f>IF(Q30&lt;0,"ERROR: Neto negativo",IF(E30&lt;Parametros!$B$5,"ERROR: Salario bajo",IF(E30&gt;Parametros!$B$11,"REVISAR: salario alto","OK")))</f>
        <v/>
      </c>
    </row>
    <row r="31">
      <c r="A31" s="12">
        <f>Empleados!A31</f>
        <v/>
      </c>
      <c r="B31" s="12">
        <f>Empleados!B31</f>
        <v/>
      </c>
      <c r="C31" s="12">
        <f>Empleados!C31</f>
        <v/>
      </c>
      <c r="D31" s="12">
        <f>Empleados!D31</f>
        <v/>
      </c>
      <c r="E31" s="4">
        <f>Empleados!E31</f>
        <v/>
      </c>
      <c r="F31" s="4">
        <f>E31/Parametros!$B$8</f>
        <v/>
      </c>
      <c r="G31" s="4">
        <f>ROUND(E31/Parametros!$B$8*Novedades_Horas!C31,0)</f>
        <v/>
      </c>
      <c r="H31" s="4">
        <f>IF(AND(E31&lt;=Parametros!$B$7,Empleados!L31="Si"),Parametros!$B$6,0)</f>
        <v/>
      </c>
      <c r="I31" s="4">
        <f>ROUND(F31*(Novedades_Horas!D31*Parametros!$B$12+Novedades_Horas!E31*Parametros!$B$13+Novedades_Horas!F31*Parametros!$B$14+Novedades_Horas!G31*Parametros!$B$15),0)</f>
        <v/>
      </c>
      <c r="J31" s="4">
        <f>Novedades_Horas!I31</f>
        <v/>
      </c>
      <c r="K31" s="4">
        <f>SUM(G31:J31)</f>
        <v/>
      </c>
      <c r="L31" s="4">
        <f>ROUND((G31+I31+J31)*Parametros!$B$9,0)</f>
        <v/>
      </c>
      <c r="M31" s="4">
        <f>ROUND((G31+I31+J31)*Parametros!$B$10,0)</f>
        <v/>
      </c>
      <c r="N31" s="4">
        <f>IF(K31&gt;6000000,ROUND((K31-6000000)*0.1,0),0)</f>
        <v/>
      </c>
      <c r="O31" s="4">
        <f>Novedades_Horas!J31</f>
        <v/>
      </c>
      <c r="P31" s="4">
        <f>SUM(L31:O31)</f>
        <v/>
      </c>
      <c r="Q31" s="4">
        <f>K31-P31</f>
        <v/>
      </c>
      <c r="R31" s="4">
        <f>ROUND(K31+(G31+I31+J31)*0.205,0)</f>
        <v/>
      </c>
      <c r="S31" s="12">
        <f>IF(Q31&lt;0,"ERROR: Neto negativo",IF(E31&lt;Parametros!$B$5,"ERROR: Salario bajo",IF(E31&gt;Parametros!$B$11,"REVISAR: salario alto","OK")))</f>
        <v/>
      </c>
    </row>
  </sheetData>
  <conditionalFormatting sqref="S2:S500">
    <cfRule type="expression" priority="1" dxfId="0">
      <formula>LEFT($S2,5)="ERROR"</formula>
    </cfRule>
    <cfRule type="expression" priority="2" dxfId="1">
      <formula>LEFT($S2,7)="REVISAR"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34" customWidth="1" min="1" max="1"/>
    <col width="16" customWidth="1" min="2" max="2"/>
    <col width="58" customWidth="1" min="3" max="3"/>
  </cols>
  <sheetData>
    <row r="1">
      <c r="A1" s="1" t="inlineStr">
        <is>
          <t>Regla</t>
        </is>
      </c>
      <c r="B1" s="1" t="inlineStr">
        <is>
          <t>Resultado</t>
        </is>
      </c>
      <c r="C1" s="1" t="inlineStr">
        <is>
          <t>Accion sugerida</t>
        </is>
      </c>
    </row>
    <row r="2">
      <c r="A2" s="12" t="inlineStr">
        <is>
          <t>Empleados sin nombre</t>
        </is>
      </c>
      <c r="B2" s="12">
        <f>COUNTBLANK(Empleados!B2:B500)</f>
        <v/>
      </c>
      <c r="C2" s="12" t="inlineStr">
        <is>
          <t>Completar nombre o eliminar registro vacio</t>
        </is>
      </c>
    </row>
    <row r="3">
      <c r="A3" s="12" t="inlineStr">
        <is>
          <t>Salarios por debajo de SMLMV</t>
        </is>
      </c>
      <c r="B3" s="12">
        <f>COUNTIF(Empleados!E2:E500,"&lt;"&amp;Parametros!$B$5)</f>
        <v/>
      </c>
      <c r="C3" s="12" t="inlineStr">
        <is>
          <t>Ajustar salario base a minimo legal o justificar excepcion</t>
        </is>
      </c>
    </row>
    <row r="4">
      <c r="A4" s="12" t="inlineStr">
        <is>
          <t>Horas ordinarias fuera de rango</t>
        </is>
      </c>
      <c r="B4" s="12">
        <f>COUNTIFS(Novedades_Horas!C2:C500,"&gt;240")+COUNTIFS(Novedades_Horas!C2:C500,"&lt;0")</f>
        <v/>
      </c>
      <c r="C4" s="12" t="inlineStr">
        <is>
          <t>Revisar horas ordinarias del periodo</t>
        </is>
      </c>
    </row>
    <row r="5">
      <c r="A5" s="12" t="inlineStr">
        <is>
          <t>Netos negativos</t>
        </is>
      </c>
      <c r="B5" s="12">
        <f>COUNTIF(Calculo_Nomina!Q2:Q500,"&lt;0")</f>
        <v/>
      </c>
      <c r="C5" s="12" t="inlineStr">
        <is>
          <t>Revisar deducciones, prestamos o novedades</t>
        </is>
      </c>
    </row>
    <row r="6">
      <c r="A6" s="12" t="inlineStr">
        <is>
          <t>Registros marcados por agente</t>
        </is>
      </c>
      <c r="B6" s="12">
        <f>COUNTIF(Calculo_Nomina!S2:S500,"&lt;&gt;OK")</f>
        <v/>
      </c>
      <c r="C6" s="12" t="inlineStr">
        <is>
          <t>Filtrar EstadoAgente en Calculo_Nomina</t>
        </is>
      </c>
    </row>
  </sheetData>
  <conditionalFormatting sqref="B2:B100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2" topLeftCell="A15" activePane="bottomLeft" state="frozen"/>
      <selection pane="bottomLeft" activeCell="D17" sqref="D17"/>
    </sheetView>
  </sheetViews>
  <sheetFormatPr baseColWidth="10" defaultColWidth="9.140625" defaultRowHeight="15"/>
  <cols>
    <col width="26" customWidth="1" min="1" max="1"/>
    <col width="20" customWidth="1" min="2" max="2"/>
    <col width="22" customWidth="1" min="4" max="4"/>
    <col width="18" customWidth="1" min="5" max="6"/>
  </cols>
  <sheetData>
    <row r="1" ht="46.5" customHeight="1">
      <c r="A1" s="7" t="inlineStr">
        <is>
          <t>Resumen de nomina</t>
        </is>
      </c>
      <c r="B1" s="12" t="n"/>
      <c r="C1" s="12" t="n"/>
      <c r="D1" s="12" t="n"/>
      <c r="E1" s="12" t="n"/>
      <c r="F1" s="12" t="n"/>
    </row>
    <row r="2">
      <c r="A2" s="12" t="n"/>
      <c r="B2" s="12" t="n"/>
      <c r="C2" s="12" t="n"/>
      <c r="D2" s="8" t="inlineStr">
        <is>
          <t>Costo por area</t>
        </is>
      </c>
      <c r="E2" s="12" t="n"/>
      <c r="F2" s="12" t="n"/>
    </row>
    <row r="3">
      <c r="A3" s="1" t="inlineStr">
        <is>
          <t>Periodo</t>
        </is>
      </c>
      <c r="B3" s="9">
        <f>DATE(Parametros!$B$2,Parametros!$B$3,1)</f>
        <v/>
      </c>
      <c r="C3" s="1" t="n"/>
      <c r="D3" s="1" t="inlineStr">
        <is>
          <t>Area</t>
        </is>
      </c>
      <c r="E3" s="1" t="inlineStr">
        <is>
          <t>Neto a pagar</t>
        </is>
      </c>
      <c r="F3" s="1" t="inlineStr">
        <is>
          <t>Costo estimado</t>
        </is>
      </c>
    </row>
    <row r="4">
      <c r="A4" s="10" t="inlineStr">
        <is>
          <t>Empleados activos</t>
        </is>
      </c>
      <c r="B4" s="3">
        <f>COUNTIF(Empleados!L:L,"Si")</f>
        <v/>
      </c>
      <c r="C4" s="12" t="n"/>
      <c r="D4" s="12" t="inlineStr">
        <is>
          <t>Administracion</t>
        </is>
      </c>
      <c r="E4" s="4">
        <f>SUMIF(Calculo_Nomina!D:D,D4,Calculo_Nomina!Q:Q)</f>
        <v/>
      </c>
      <c r="F4" s="4">
        <f>SUMIF(Calculo_Nomina!D:D,D4,Calculo_Nomina!R:R)</f>
        <v/>
      </c>
    </row>
    <row r="5">
      <c r="A5" s="10" t="inlineStr">
        <is>
          <t>Total devengado</t>
        </is>
      </c>
      <c r="B5" s="4">
        <f>SUM(Calculo_Nomina!K:K)</f>
        <v/>
      </c>
      <c r="C5" s="12" t="n"/>
      <c r="D5" s="12" t="inlineStr">
        <is>
          <t>Comercial</t>
        </is>
      </c>
      <c r="E5" s="4">
        <f>SUMIF(Calculo_Nomina!D:D,D5,Calculo_Nomina!Q:Q)</f>
        <v/>
      </c>
      <c r="F5" s="4">
        <f>SUMIF(Calculo_Nomina!D:D,D5,Calculo_Nomina!R:R)</f>
        <v/>
      </c>
    </row>
    <row r="6">
      <c r="A6" s="10" t="inlineStr">
        <is>
          <t>Total deducciones</t>
        </is>
      </c>
      <c r="B6" s="4">
        <f>SUM(Calculo_Nomina!P:P)</f>
        <v/>
      </c>
      <c r="C6" s="12" t="n"/>
      <c r="D6" s="12" t="inlineStr">
        <is>
          <t>Finanzas</t>
        </is>
      </c>
      <c r="E6" s="4">
        <f>SUMIF(Calculo_Nomina!D:D,D6,Calculo_Nomina!Q:Q)</f>
        <v/>
      </c>
      <c r="F6" s="4">
        <f>SUMIF(Calculo_Nomina!D:D,D6,Calculo_Nomina!R:R)</f>
        <v/>
      </c>
    </row>
    <row r="7">
      <c r="A7" s="10" t="inlineStr">
        <is>
          <t>Total neto a pagar</t>
        </is>
      </c>
      <c r="B7" s="4">
        <f>SUM(Calculo_Nomina!Q:Q)</f>
        <v/>
      </c>
      <c r="C7" s="12" t="n"/>
      <c r="D7" s="12" t="inlineStr">
        <is>
          <t>Operaciones</t>
        </is>
      </c>
      <c r="E7" s="4">
        <f>SUMIF(Calculo_Nomina!D:D,D7,Calculo_Nomina!Q:Q)</f>
        <v/>
      </c>
      <c r="F7" s="4">
        <f>SUMIF(Calculo_Nomina!D:D,D7,Calculo_Nomina!R:R)</f>
        <v/>
      </c>
    </row>
    <row r="8">
      <c r="A8" s="10" t="inlineStr">
        <is>
          <t>Costo empresa estimado</t>
        </is>
      </c>
      <c r="B8" s="4">
        <f>SUM(Calculo_Nomina!R:R)</f>
        <v/>
      </c>
      <c r="C8" s="12" t="n"/>
      <c r="D8" s="12" t="inlineStr">
        <is>
          <t>Talento Humano</t>
        </is>
      </c>
      <c r="E8" s="4">
        <f>SUMIF(Calculo_Nomina!D:D,D8,Calculo_Nomina!Q:Q)</f>
        <v/>
      </c>
      <c r="F8" s="4">
        <f>SUMIF(Calculo_Nomina!D:D,D8,Calculo_Nomina!R:R)</f>
        <v/>
      </c>
    </row>
    <row r="9">
      <c r="A9" s="10" t="inlineStr">
        <is>
          <t>Alertas abiertas</t>
        </is>
      </c>
      <c r="B9" s="4">
        <f>COUNTIF(Calculo_Nomina!S:S,"&lt;&gt;OK")-1</f>
        <v/>
      </c>
      <c r="C9" s="12" t="n"/>
      <c r="D9" s="12" t="inlineStr">
        <is>
          <t>Tecnologia</t>
        </is>
      </c>
      <c r="E9" s="4">
        <f>SUMIF(Calculo_Nomina!D:D,D9,Calculo_Nomina!Q:Q)</f>
        <v/>
      </c>
      <c r="F9" s="4">
        <f>SUMIF(Calculo_Nomina!D:D,D9,Calculo_Nomina!R:R)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8" customWidth="1" min="1" max="1"/>
    <col width="24" customWidth="1" min="2" max="2"/>
    <col width="16" customWidth="1" min="3" max="3"/>
    <col width="22" customWidth="1" min="4" max="4"/>
    <col width="42" customWidth="1" min="5" max="5"/>
  </cols>
  <sheetData>
    <row r="1">
      <c r="A1" s="1" t="inlineStr">
        <is>
          <t>Escenario</t>
        </is>
      </c>
      <c r="B1" s="1" t="inlineStr">
        <is>
          <t>Parametro</t>
        </is>
      </c>
      <c r="C1" s="1" t="inlineStr">
        <is>
          <t>Valor</t>
        </is>
      </c>
      <c r="D1" s="1" t="inlineStr">
        <is>
          <t>Resultado estimado</t>
        </is>
      </c>
      <c r="E1" s="1" t="inlineStr">
        <is>
          <t>Formula/accion</t>
        </is>
      </c>
    </row>
    <row r="2">
      <c r="A2" s="12" t="inlineStr">
        <is>
          <t>Base actual</t>
        </is>
      </c>
      <c r="B2" s="12" t="inlineStr">
        <is>
          <t>Aumento salarial</t>
        </is>
      </c>
      <c r="C2" s="5" t="n">
        <v>0</v>
      </c>
      <c r="D2" s="4">
        <f>SUM(Calculo_Nomina!Q:Q)</f>
        <v/>
      </c>
      <c r="E2" s="12" t="inlineStr">
        <is>
          <t>Neto a pagar actual</t>
        </is>
      </c>
    </row>
    <row r="3">
      <c r="A3" s="12" t="inlineStr">
        <is>
          <t>Simular aumento 10%</t>
        </is>
      </c>
      <c r="B3" s="12" t="inlineStr">
        <is>
          <t>Aumento salarial</t>
        </is>
      </c>
      <c r="C3" s="5" t="n">
        <v>0.1</v>
      </c>
      <c r="D3" s="4">
        <f>ROUND(SUM(Calculo_Nomina!Q:Q)*(1+C3),0)</f>
        <v/>
      </c>
      <c r="E3" s="12" t="inlineStr">
        <is>
          <t>Impacto aproximado sobre neto</t>
        </is>
      </c>
    </row>
    <row r="4">
      <c r="A4" s="12" t="inlineStr">
        <is>
          <t>Agregar 5 empleados minimo</t>
        </is>
      </c>
      <c r="B4" s="12" t="inlineStr">
        <is>
          <t>Cantidad</t>
        </is>
      </c>
      <c r="C4" s="3" t="n">
        <v>5</v>
      </c>
      <c r="D4" s="4">
        <f>C4*Parametros!$B$5</f>
        <v/>
      </c>
      <c r="E4" s="12" t="inlineStr">
        <is>
          <t>Costo salarial base antes de aportes</t>
        </is>
      </c>
    </row>
    <row r="5">
      <c r="A5" s="12" t="inlineStr">
        <is>
          <t>Sin auxilio transporte</t>
        </is>
      </c>
      <c r="B5" s="12" t="inlineStr">
        <is>
          <t>Auxilio</t>
        </is>
      </c>
      <c r="C5" s="3" t="n">
        <v>0</v>
      </c>
      <c r="D5" s="4">
        <f>SUM(Calculo_Nomina!Q:Q)-SUM(Calculo_Nomina!H:H)</f>
        <v/>
      </c>
      <c r="E5" s="12" t="inlineStr">
        <is>
          <t>Comparativo sin auxilio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2" topLeftCell="A4" activePane="bottomLeft" state="frozen"/>
      <selection pane="bottomLeft" activeCell="A1" sqref="A1"/>
    </sheetView>
  </sheetViews>
  <sheetFormatPr baseColWidth="10" defaultColWidth="9.140625" defaultRowHeight="15"/>
  <cols>
    <col width="34" customWidth="1" min="1" max="1"/>
    <col width="72" customWidth="1" min="2" max="2"/>
    <col width="18" customWidth="1" min="3" max="3"/>
  </cols>
  <sheetData>
    <row r="1" ht="42" customHeight="1">
      <c r="A1" s="11" t="inlineStr">
        <is>
          <t>Interfaz inteligente: comandos soportados</t>
        </is>
      </c>
      <c r="B1" s="12" t="n"/>
      <c r="C1" s="12" t="n"/>
    </row>
    <row r="2">
      <c r="A2" s="1" t="inlineStr">
        <is>
          <t>Comando natural</t>
        </is>
      </c>
      <c r="B2" s="1" t="inlineStr">
        <is>
          <t>Como se ejecuta en el libro</t>
        </is>
      </c>
      <c r="C2" s="1" t="inlineStr">
        <is>
          <t>Estado</t>
        </is>
      </c>
    </row>
    <row r="3" ht="30" customHeight="1">
      <c r="A3" s="12" t="inlineStr">
        <is>
          <t>Agrega 5 empleados con salario minimo</t>
        </is>
      </c>
      <c r="B3" s="12" t="inlineStr">
        <is>
          <t>Duplicar 5 filas base en Empleados con SalarioBase = Parametros!SMLMV y crear sus novedades</t>
        </is>
      </c>
      <c r="C3" s="12" t="inlineStr">
        <is>
          <t>Plantilla lista</t>
        </is>
      </c>
    </row>
    <row r="4" ht="30" customHeight="1">
      <c r="A4" s="12" t="inlineStr">
        <is>
          <t>Calcula nomina del mes</t>
        </is>
      </c>
      <c r="B4" s="12" t="inlineStr">
        <is>
          <t>Editar Parametros Mes/Anio; Excel recalcula Calculo_Nomina y Reporte_Gerencial</t>
        </is>
      </c>
      <c r="C4" s="12" t="inlineStr">
        <is>
          <t>Automatico</t>
        </is>
      </c>
    </row>
    <row r="5">
      <c r="A5" s="12" t="inlineStr">
        <is>
          <t>Simula aumento del 10%</t>
        </is>
      </c>
      <c r="B5" s="12" t="inlineStr">
        <is>
          <t>Usar fila Simular aumento 10% en Escenarios o cambiar C3</t>
        </is>
      </c>
      <c r="C5" s="12" t="inlineStr">
        <is>
          <t>Automatico</t>
        </is>
      </c>
    </row>
    <row r="6">
      <c r="A6" s="12" t="inlineStr">
        <is>
          <t>Revisa errores</t>
        </is>
      </c>
      <c r="B6" s="12" t="inlineStr">
        <is>
          <t>Abrir Validaciones y filtrar EstadoAgente en Calculo_Nomina</t>
        </is>
      </c>
      <c r="C6" s="12" t="inlineStr">
        <is>
          <t>Automatico</t>
        </is>
      </c>
    </row>
    <row r="7">
      <c r="A7" s="12" t="inlineStr">
        <is>
          <t>Genera reporte de fin de mes</t>
        </is>
      </c>
      <c r="B7" s="12" t="inlineStr">
        <is>
          <t>Reporte_Gerencial consolida totales, costos por area y graficos</t>
        </is>
      </c>
      <c r="C7" s="12" t="inlineStr">
        <is>
          <t>Automatico</t>
        </is>
      </c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8" t="inlineStr">
        <is>
          <t>Nota operativa</t>
        </is>
      </c>
      <c r="B10" s="12" t="n"/>
      <c r="C10" s="12" t="n"/>
    </row>
    <row r="11">
      <c r="A11" s="12" t="inlineStr">
        <is>
          <t>Este archivo usa formulas, tablas, validaciones y recalculo al abrir. Para eventos 100% activos tipo macro, se puede migrar a .xlsm u Office Scripts sobre esta misma estructura.</t>
        </is>
      </c>
      <c r="B11" s="14" t="n"/>
      <c r="C11" s="15" t="n"/>
    </row>
    <row r="12">
      <c r="A12" s="16" t="n"/>
      <c r="B12" s="17" t="n"/>
      <c r="C12" s="18" t="n"/>
    </row>
  </sheetData>
  <mergeCells count="1">
    <mergeCell ref="A11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B13" sqref="B13"/>
    </sheetView>
  </sheetViews>
  <sheetFormatPr baseColWidth="10" defaultColWidth="9.140625" defaultRowHeight="15"/>
  <cols>
    <col width="22" customWidth="1" min="1" max="1"/>
    <col width="30" customWidth="1" min="2" max="2"/>
    <col width="44" customWidth="1" min="3" max="3"/>
    <col width="46" customWidth="1" min="4" max="4"/>
  </cols>
  <sheetData>
    <row r="1">
      <c r="A1" s="1" t="inlineStr">
        <is>
          <t>Workflow</t>
        </is>
      </c>
      <c r="B1" s="1" t="inlineStr">
        <is>
          <t>Disparador</t>
        </is>
      </c>
      <c r="C1" s="1" t="inlineStr">
        <is>
          <t>Accion automatizada</t>
        </is>
      </c>
      <c r="D1" s="1" t="inlineStr">
        <is>
          <t>Implementacion actual</t>
        </is>
      </c>
    </row>
    <row r="2" ht="30" customHeight="1">
      <c r="A2" s="12" t="inlineStr">
        <is>
          <t>Alta empleado</t>
        </is>
      </c>
      <c r="B2" s="12" t="inlineStr">
        <is>
          <t>Nueva fila en Empleados</t>
        </is>
      </c>
      <c r="C2" s="12" t="inlineStr">
        <is>
          <t>Generar registro completo y novedades</t>
        </is>
      </c>
      <c r="D2" s="12" t="inlineStr">
        <is>
          <t>Tabla estructurada + validaciones + plantilla en Agente_NL</t>
        </is>
      </c>
    </row>
    <row r="3" ht="30" customHeight="1">
      <c r="A3" s="12" t="inlineStr">
        <is>
          <t>Cambio salario</t>
        </is>
      </c>
      <c r="B3" s="12" t="inlineStr">
        <is>
          <t>Cambio en SalarioBase</t>
        </is>
      </c>
      <c r="C3" s="12" t="inlineStr">
        <is>
          <t>Recalcular devengado, deducciones, neto y alertas</t>
        </is>
      </c>
      <c r="D3" s="12" t="inlineStr">
        <is>
          <t>Formulas enlazadas con recalculo automatico</t>
        </is>
      </c>
    </row>
    <row r="4" ht="30" customHeight="1">
      <c r="A4" s="12" t="inlineStr">
        <is>
          <t>Fin de mes</t>
        </is>
      </c>
      <c r="B4" s="12" t="inlineStr">
        <is>
          <t>Cambio Mes/Anio o cierre periodo</t>
        </is>
      </c>
      <c r="C4" s="12" t="inlineStr">
        <is>
          <t>Actualizar resumen y graficos</t>
        </is>
      </c>
      <c r="D4" s="12" t="inlineStr">
        <is>
          <t>Reporte_Gerencial con formulas y graficos</t>
        </is>
      </c>
    </row>
    <row r="5" ht="30" customHeight="1">
      <c r="A5" s="12" t="inlineStr">
        <is>
          <t>Control errores</t>
        </is>
      </c>
      <c r="B5" s="12" t="inlineStr">
        <is>
          <t>Datos fuera de rango</t>
        </is>
      </c>
      <c r="C5" s="12" t="inlineStr">
        <is>
          <t>Marcar errores y sugerir correccion</t>
        </is>
      </c>
      <c r="D5" s="12" t="inlineStr">
        <is>
          <t>Validaciones + EstadoAgente + formato condicional</t>
        </is>
      </c>
    </row>
    <row r="6">
      <c r="A6" s="12" t="inlineStr">
        <is>
          <t>Simulacion</t>
        </is>
      </c>
      <c r="B6" s="12" t="inlineStr">
        <is>
          <t>Cambio de escenario</t>
        </is>
      </c>
      <c r="C6" s="12" t="inlineStr">
        <is>
          <t>Estimar impacto financiero</t>
        </is>
      </c>
      <c r="D6" s="12" t="inlineStr">
        <is>
          <t>Hoja Escenarios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2026-05-26T20:56:29Z</dcterms:created>
  <dcterms:modified xmlns:dcterms="http://purl.org/dc/terms/" xmlns:xsi="http://www.w3.org/2001/XMLSchema-instance" xsi:type="dcterms:W3CDTF">2026-05-26T22:14:57Z</dcterms:modified>
  <cp:lastModifiedBy>valentina .</cp:lastModifiedBy>
</cp:coreProperties>
</file>