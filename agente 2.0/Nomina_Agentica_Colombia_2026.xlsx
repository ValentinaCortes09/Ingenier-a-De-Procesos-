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Janus\trabajos u\agente 2.0\"/>
    </mc:Choice>
  </mc:AlternateContent>
  <xr:revisionPtr revIDLastSave="0" documentId="13_ncr:1_{5AFA2EA7-AE17-448C-89B4-3966611E7A9E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Parametros" sheetId="1" r:id="rId1"/>
    <sheet name="Empleados" sheetId="2" r:id="rId2"/>
    <sheet name="Novedades_Horas" sheetId="3" r:id="rId3"/>
    <sheet name="Calculo_Nomina" sheetId="4" r:id="rId4"/>
    <sheet name="Validaciones" sheetId="5" r:id="rId5"/>
    <sheet name="Reporte_Gerencial" sheetId="6" r:id="rId6"/>
    <sheet name="Escenarios" sheetId="7" r:id="rId7"/>
    <sheet name="Agente_NL" sheetId="8" r:id="rId8"/>
    <sheet name="Bitacora_Workflows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7" l="1"/>
  <c r="B4" i="6"/>
  <c r="B3" i="6"/>
  <c r="B4" i="5"/>
  <c r="B3" i="5"/>
  <c r="B2" i="5"/>
  <c r="O31" i="4"/>
  <c r="J31" i="4"/>
  <c r="E31" i="4"/>
  <c r="H31" i="4" s="1"/>
  <c r="D31" i="4"/>
  <c r="C31" i="4"/>
  <c r="B31" i="4"/>
  <c r="A31" i="4"/>
  <c r="O30" i="4"/>
  <c r="J30" i="4"/>
  <c r="E30" i="4"/>
  <c r="H30" i="4" s="1"/>
  <c r="D30" i="4"/>
  <c r="C30" i="4"/>
  <c r="B30" i="4"/>
  <c r="A30" i="4"/>
  <c r="O29" i="4"/>
  <c r="J29" i="4"/>
  <c r="E29" i="4"/>
  <c r="H29" i="4" s="1"/>
  <c r="D29" i="4"/>
  <c r="C29" i="4"/>
  <c r="B29" i="4"/>
  <c r="A29" i="4"/>
  <c r="O28" i="4"/>
  <c r="J28" i="4"/>
  <c r="E28" i="4"/>
  <c r="F28" i="4" s="1"/>
  <c r="I28" i="4" s="1"/>
  <c r="D28" i="4"/>
  <c r="C28" i="4"/>
  <c r="B28" i="4"/>
  <c r="A28" i="4"/>
  <c r="O27" i="4"/>
  <c r="J27" i="4"/>
  <c r="E27" i="4"/>
  <c r="H27" i="4" s="1"/>
  <c r="D27" i="4"/>
  <c r="C27" i="4"/>
  <c r="B27" i="4"/>
  <c r="A27" i="4"/>
  <c r="O26" i="4"/>
  <c r="J26" i="4"/>
  <c r="E26" i="4"/>
  <c r="F26" i="4" s="1"/>
  <c r="I26" i="4" s="1"/>
  <c r="D26" i="4"/>
  <c r="C26" i="4"/>
  <c r="B26" i="4"/>
  <c r="A26" i="4"/>
  <c r="O25" i="4"/>
  <c r="J25" i="4"/>
  <c r="E25" i="4"/>
  <c r="F25" i="4" s="1"/>
  <c r="I25" i="4" s="1"/>
  <c r="D25" i="4"/>
  <c r="C25" i="4"/>
  <c r="B25" i="4"/>
  <c r="A25" i="4"/>
  <c r="O24" i="4"/>
  <c r="J24" i="4"/>
  <c r="E24" i="4"/>
  <c r="G24" i="4" s="1"/>
  <c r="D24" i="4"/>
  <c r="C24" i="4"/>
  <c r="B24" i="4"/>
  <c r="A24" i="4"/>
  <c r="O23" i="4"/>
  <c r="J23" i="4"/>
  <c r="E23" i="4"/>
  <c r="D23" i="4"/>
  <c r="C23" i="4"/>
  <c r="B23" i="4"/>
  <c r="A23" i="4"/>
  <c r="O22" i="4"/>
  <c r="J22" i="4"/>
  <c r="E22" i="4"/>
  <c r="G22" i="4" s="1"/>
  <c r="D22" i="4"/>
  <c r="C22" i="4"/>
  <c r="B22" i="4"/>
  <c r="A22" i="4"/>
  <c r="O21" i="4"/>
  <c r="J21" i="4"/>
  <c r="E21" i="4"/>
  <c r="H21" i="4" s="1"/>
  <c r="D21" i="4"/>
  <c r="C21" i="4"/>
  <c r="B21" i="4"/>
  <c r="A21" i="4"/>
  <c r="O20" i="4"/>
  <c r="J20" i="4"/>
  <c r="E20" i="4"/>
  <c r="D20" i="4"/>
  <c r="C20" i="4"/>
  <c r="B20" i="4"/>
  <c r="A20" i="4"/>
  <c r="O19" i="4"/>
  <c r="J19" i="4"/>
  <c r="E19" i="4"/>
  <c r="H19" i="4" s="1"/>
  <c r="D19" i="4"/>
  <c r="C19" i="4"/>
  <c r="B19" i="4"/>
  <c r="A19" i="4"/>
  <c r="O18" i="4"/>
  <c r="J18" i="4"/>
  <c r="E18" i="4"/>
  <c r="G18" i="4" s="1"/>
  <c r="D18" i="4"/>
  <c r="C18" i="4"/>
  <c r="B18" i="4"/>
  <c r="A18" i="4"/>
  <c r="O17" i="4"/>
  <c r="J17" i="4"/>
  <c r="E17" i="4"/>
  <c r="H17" i="4" s="1"/>
  <c r="D17" i="4"/>
  <c r="C17" i="4"/>
  <c r="B17" i="4"/>
  <c r="A17" i="4"/>
  <c r="O16" i="4"/>
  <c r="J16" i="4"/>
  <c r="E16" i="4"/>
  <c r="H16" i="4" s="1"/>
  <c r="D16" i="4"/>
  <c r="C16" i="4"/>
  <c r="B16" i="4"/>
  <c r="A16" i="4"/>
  <c r="O15" i="4"/>
  <c r="J15" i="4"/>
  <c r="E15" i="4"/>
  <c r="H15" i="4" s="1"/>
  <c r="D15" i="4"/>
  <c r="C15" i="4"/>
  <c r="B15" i="4"/>
  <c r="A15" i="4"/>
  <c r="O14" i="4"/>
  <c r="J14" i="4"/>
  <c r="E14" i="4"/>
  <c r="F14" i="4" s="1"/>
  <c r="I14" i="4" s="1"/>
  <c r="D14" i="4"/>
  <c r="C14" i="4"/>
  <c r="B14" i="4"/>
  <c r="A14" i="4"/>
  <c r="O13" i="4"/>
  <c r="J13" i="4"/>
  <c r="E13" i="4"/>
  <c r="H13" i="4" s="1"/>
  <c r="D13" i="4"/>
  <c r="C13" i="4"/>
  <c r="B13" i="4"/>
  <c r="A13" i="4"/>
  <c r="O12" i="4"/>
  <c r="J12" i="4"/>
  <c r="E12" i="4"/>
  <c r="D12" i="4"/>
  <c r="C12" i="4"/>
  <c r="B12" i="4"/>
  <c r="A12" i="4"/>
  <c r="O11" i="4"/>
  <c r="J11" i="4"/>
  <c r="E11" i="4"/>
  <c r="G11" i="4" s="1"/>
  <c r="D11" i="4"/>
  <c r="C11" i="4"/>
  <c r="B11" i="4"/>
  <c r="A11" i="4"/>
  <c r="O10" i="4"/>
  <c r="J10" i="4"/>
  <c r="E10" i="4"/>
  <c r="G10" i="4" s="1"/>
  <c r="D10" i="4"/>
  <c r="C10" i="4"/>
  <c r="B10" i="4"/>
  <c r="A10" i="4"/>
  <c r="O9" i="4"/>
  <c r="J9" i="4"/>
  <c r="E9" i="4"/>
  <c r="D9" i="4"/>
  <c r="C9" i="4"/>
  <c r="B9" i="4"/>
  <c r="A9" i="4"/>
  <c r="O8" i="4"/>
  <c r="J8" i="4"/>
  <c r="E8" i="4"/>
  <c r="H8" i="4" s="1"/>
  <c r="D8" i="4"/>
  <c r="C8" i="4"/>
  <c r="B8" i="4"/>
  <c r="A8" i="4"/>
  <c r="O7" i="4"/>
  <c r="J7" i="4"/>
  <c r="E7" i="4"/>
  <c r="G7" i="4" s="1"/>
  <c r="D7" i="4"/>
  <c r="C7" i="4"/>
  <c r="B7" i="4"/>
  <c r="A7" i="4"/>
  <c r="O6" i="4"/>
  <c r="J6" i="4"/>
  <c r="E6" i="4"/>
  <c r="H6" i="4" s="1"/>
  <c r="D6" i="4"/>
  <c r="C6" i="4"/>
  <c r="B6" i="4"/>
  <c r="A6" i="4"/>
  <c r="O5" i="4"/>
  <c r="J5" i="4"/>
  <c r="E5" i="4"/>
  <c r="G5" i="4" s="1"/>
  <c r="D5" i="4"/>
  <c r="C5" i="4"/>
  <c r="B5" i="4"/>
  <c r="A5" i="4"/>
  <c r="O4" i="4"/>
  <c r="J4" i="4"/>
  <c r="E4" i="4"/>
  <c r="G4" i="4" s="1"/>
  <c r="D4" i="4"/>
  <c r="C4" i="4"/>
  <c r="B4" i="4"/>
  <c r="A4" i="4"/>
  <c r="O3" i="4"/>
  <c r="J3" i="4"/>
  <c r="E3" i="4"/>
  <c r="F3" i="4" s="1"/>
  <c r="I3" i="4" s="1"/>
  <c r="D3" i="4"/>
  <c r="C3" i="4"/>
  <c r="B3" i="4"/>
  <c r="A3" i="4"/>
  <c r="O2" i="4"/>
  <c r="J2" i="4"/>
  <c r="E2" i="4"/>
  <c r="H2" i="4" s="1"/>
  <c r="D2" i="4"/>
  <c r="C2" i="4"/>
  <c r="B2" i="4"/>
  <c r="A2" i="4"/>
  <c r="H28" i="4" l="1"/>
  <c r="G28" i="4"/>
  <c r="M28" i="4" s="1"/>
  <c r="F19" i="4"/>
  <c r="I19" i="4" s="1"/>
  <c r="G19" i="4"/>
  <c r="F17" i="4"/>
  <c r="I17" i="4" s="1"/>
  <c r="F31" i="4"/>
  <c r="I31" i="4" s="1"/>
  <c r="G17" i="4"/>
  <c r="G31" i="4"/>
  <c r="H22" i="4"/>
  <c r="F13" i="4"/>
  <c r="I13" i="4" s="1"/>
  <c r="H7" i="4"/>
  <c r="H14" i="4"/>
  <c r="H5" i="4"/>
  <c r="F11" i="4"/>
  <c r="I11" i="4" s="1"/>
  <c r="M11" i="4" s="1"/>
  <c r="G25" i="4"/>
  <c r="M25" i="4" s="1"/>
  <c r="F7" i="4"/>
  <c r="I7" i="4" s="1"/>
  <c r="L7" i="4" s="1"/>
  <c r="G14" i="4"/>
  <c r="M14" i="4" s="1"/>
  <c r="H11" i="4"/>
  <c r="K11" i="4" s="1"/>
  <c r="H25" i="4"/>
  <c r="K25" i="4" s="1"/>
  <c r="G8" i="4"/>
  <c r="G3" i="4"/>
  <c r="H3" i="4"/>
  <c r="F6" i="4"/>
  <c r="I6" i="4" s="1"/>
  <c r="G20" i="4"/>
  <c r="H20" i="4"/>
  <c r="G6" i="4"/>
  <c r="F20" i="4"/>
  <c r="I20" i="4" s="1"/>
  <c r="H9" i="4"/>
  <c r="G9" i="4"/>
  <c r="F9" i="4"/>
  <c r="I9" i="4" s="1"/>
  <c r="F23" i="4"/>
  <c r="I23" i="4" s="1"/>
  <c r="H23" i="4"/>
  <c r="G23" i="4"/>
  <c r="G12" i="4"/>
  <c r="F12" i="4"/>
  <c r="I12" i="4" s="1"/>
  <c r="H12" i="4"/>
  <c r="G26" i="4"/>
  <c r="F29" i="4"/>
  <c r="I29" i="4" s="1"/>
  <c r="F4" i="4"/>
  <c r="I4" i="4" s="1"/>
  <c r="M4" i="4" s="1"/>
  <c r="H26" i="4"/>
  <c r="G29" i="4"/>
  <c r="H4" i="4"/>
  <c r="F10" i="4"/>
  <c r="I10" i="4" s="1"/>
  <c r="L10" i="4" s="1"/>
  <c r="H10" i="4"/>
  <c r="G13" i="4"/>
  <c r="F16" i="4"/>
  <c r="I16" i="4" s="1"/>
  <c r="G16" i="4"/>
  <c r="F22" i="4"/>
  <c r="I22" i="4" s="1"/>
  <c r="L22" i="4" s="1"/>
  <c r="F15" i="4"/>
  <c r="I15" i="4" s="1"/>
  <c r="F18" i="4"/>
  <c r="I18" i="4" s="1"/>
  <c r="L18" i="4" s="1"/>
  <c r="F27" i="4"/>
  <c r="I27" i="4" s="1"/>
  <c r="H24" i="4"/>
  <c r="G27" i="4"/>
  <c r="F30" i="4"/>
  <c r="I30" i="4" s="1"/>
  <c r="G15" i="4"/>
  <c r="F21" i="4"/>
  <c r="I21" i="4" s="1"/>
  <c r="H18" i="4"/>
  <c r="G21" i="4"/>
  <c r="F24" i="4"/>
  <c r="I24" i="4" s="1"/>
  <c r="L24" i="4" s="1"/>
  <c r="F2" i="4"/>
  <c r="I2" i="4" s="1"/>
  <c r="G2" i="4"/>
  <c r="F5" i="4"/>
  <c r="I5" i="4" s="1"/>
  <c r="L5" i="4" s="1"/>
  <c r="G30" i="4"/>
  <c r="F8" i="4"/>
  <c r="I8" i="4" s="1"/>
  <c r="M10" i="4" l="1"/>
  <c r="K10" i="4"/>
  <c r="N10" i="4" s="1"/>
  <c r="P10" i="4" s="1"/>
  <c r="Q10" i="4" s="1"/>
  <c r="S10" i="4" s="1"/>
  <c r="L31" i="4"/>
  <c r="L17" i="4"/>
  <c r="M7" i="4"/>
  <c r="K7" i="4"/>
  <c r="K19" i="4"/>
  <c r="L19" i="4"/>
  <c r="L28" i="4"/>
  <c r="K28" i="4"/>
  <c r="K4" i="4"/>
  <c r="R4" i="4" s="1"/>
  <c r="L4" i="4"/>
  <c r="K8" i="4"/>
  <c r="R8" i="4" s="1"/>
  <c r="K14" i="4"/>
  <c r="R14" i="4" s="1"/>
  <c r="L14" i="4"/>
  <c r="L25" i="4"/>
  <c r="M24" i="4"/>
  <c r="M5" i="4"/>
  <c r="K24" i="4"/>
  <c r="N24" i="4" s="1"/>
  <c r="K22" i="4"/>
  <c r="N22" i="4" s="1"/>
  <c r="K31" i="4"/>
  <c r="N31" i="4" s="1"/>
  <c r="M31" i="4"/>
  <c r="M17" i="4"/>
  <c r="K5" i="4"/>
  <c r="N5" i="4" s="1"/>
  <c r="P5" i="4" s="1"/>
  <c r="Q5" i="4" s="1"/>
  <c r="S5" i="4" s="1"/>
  <c r="L11" i="4"/>
  <c r="P11" i="4" s="1"/>
  <c r="Q11" i="4" s="1"/>
  <c r="S11" i="4" s="1"/>
  <c r="K17" i="4"/>
  <c r="N17" i="4" s="1"/>
  <c r="P17" i="4" s="1"/>
  <c r="Q17" i="4" s="1"/>
  <c r="S17" i="4" s="1"/>
  <c r="M19" i="4"/>
  <c r="R10" i="4"/>
  <c r="K27" i="4"/>
  <c r="L27" i="4"/>
  <c r="M27" i="4"/>
  <c r="M15" i="4"/>
  <c r="L15" i="4"/>
  <c r="K15" i="4"/>
  <c r="R11" i="4"/>
  <c r="N11" i="4"/>
  <c r="R19" i="4"/>
  <c r="N19" i="4"/>
  <c r="M16" i="4"/>
  <c r="L16" i="4"/>
  <c r="K16" i="4"/>
  <c r="M22" i="4"/>
  <c r="R28" i="4"/>
  <c r="N28" i="4"/>
  <c r="P28" i="4" s="1"/>
  <c r="Q28" i="4" s="1"/>
  <c r="S28" i="4" s="1"/>
  <c r="M13" i="4"/>
  <c r="L13" i="4"/>
  <c r="K13" i="4"/>
  <c r="R25" i="4"/>
  <c r="N25" i="4"/>
  <c r="R7" i="4"/>
  <c r="N7" i="4"/>
  <c r="P7" i="4" s="1"/>
  <c r="Q7" i="4" s="1"/>
  <c r="M8" i="4"/>
  <c r="L8" i="4"/>
  <c r="M30" i="4"/>
  <c r="K30" i="4"/>
  <c r="L30" i="4"/>
  <c r="M9" i="4"/>
  <c r="K9" i="4"/>
  <c r="L9" i="4"/>
  <c r="M18" i="4"/>
  <c r="L6" i="4"/>
  <c r="K6" i="4"/>
  <c r="M6" i="4"/>
  <c r="M23" i="4"/>
  <c r="L23" i="4"/>
  <c r="K23" i="4"/>
  <c r="M29" i="4"/>
  <c r="L29" i="4"/>
  <c r="K29" i="4"/>
  <c r="K18" i="4"/>
  <c r="M2" i="4"/>
  <c r="L2" i="4"/>
  <c r="K2" i="4"/>
  <c r="M26" i="4"/>
  <c r="L26" i="4"/>
  <c r="K26" i="4"/>
  <c r="K20" i="4"/>
  <c r="M20" i="4"/>
  <c r="L20" i="4"/>
  <c r="M21" i="4"/>
  <c r="L21" i="4"/>
  <c r="K21" i="4"/>
  <c r="M12" i="4"/>
  <c r="L12" i="4"/>
  <c r="K12" i="4"/>
  <c r="L3" i="4"/>
  <c r="M3" i="4"/>
  <c r="K3" i="4"/>
  <c r="P24" i="4" l="1"/>
  <c r="Q24" i="4" s="1"/>
  <c r="S24" i="4" s="1"/>
  <c r="N8" i="4"/>
  <c r="R5" i="4"/>
  <c r="R24" i="4"/>
  <c r="R22" i="4"/>
  <c r="N14" i="4"/>
  <c r="P14" i="4" s="1"/>
  <c r="Q14" i="4" s="1"/>
  <c r="S14" i="4" s="1"/>
  <c r="N4" i="4"/>
  <c r="P22" i="4"/>
  <c r="Q22" i="4" s="1"/>
  <c r="S22" i="4" s="1"/>
  <c r="P31" i="4"/>
  <c r="Q31" i="4" s="1"/>
  <c r="S31" i="4" s="1"/>
  <c r="P4" i="4"/>
  <c r="Q4" i="4" s="1"/>
  <c r="R31" i="4"/>
  <c r="P19" i="4"/>
  <c r="Q19" i="4" s="1"/>
  <c r="S19" i="4" s="1"/>
  <c r="P25" i="4"/>
  <c r="Q25" i="4" s="1"/>
  <c r="S25" i="4" s="1"/>
  <c r="R17" i="4"/>
  <c r="F4" i="6"/>
  <c r="S7" i="4"/>
  <c r="S4" i="4"/>
  <c r="N23" i="4"/>
  <c r="P23" i="4" s="1"/>
  <c r="Q23" i="4" s="1"/>
  <c r="S23" i="4" s="1"/>
  <c r="R23" i="4"/>
  <c r="N15" i="4"/>
  <c r="P15" i="4" s="1"/>
  <c r="Q15" i="4" s="1"/>
  <c r="S15" i="4" s="1"/>
  <c r="R15" i="4"/>
  <c r="R6" i="4"/>
  <c r="N6" i="4"/>
  <c r="P6" i="4" s="1"/>
  <c r="Q6" i="4" s="1"/>
  <c r="S6" i="4" s="1"/>
  <c r="N9" i="4"/>
  <c r="P9" i="4" s="1"/>
  <c r="Q9" i="4" s="1"/>
  <c r="R9" i="4"/>
  <c r="F9" i="6" s="1"/>
  <c r="R13" i="4"/>
  <c r="N13" i="4"/>
  <c r="P13" i="4" s="1"/>
  <c r="Q13" i="4" s="1"/>
  <c r="S13" i="4" s="1"/>
  <c r="R3" i="4"/>
  <c r="F7" i="6" s="1"/>
  <c r="N3" i="4"/>
  <c r="P3" i="4" s="1"/>
  <c r="Q3" i="4" s="1"/>
  <c r="R16" i="4"/>
  <c r="N16" i="4"/>
  <c r="P16" i="4" s="1"/>
  <c r="Q16" i="4" s="1"/>
  <c r="S16" i="4" s="1"/>
  <c r="N12" i="4"/>
  <c r="P12" i="4" s="1"/>
  <c r="Q12" i="4" s="1"/>
  <c r="R12" i="4"/>
  <c r="R21" i="4"/>
  <c r="N21" i="4"/>
  <c r="P21" i="4" s="1"/>
  <c r="Q21" i="4" s="1"/>
  <c r="S21" i="4" s="1"/>
  <c r="R30" i="4"/>
  <c r="N30" i="4"/>
  <c r="P30" i="4" s="1"/>
  <c r="Q30" i="4" s="1"/>
  <c r="S30" i="4" s="1"/>
  <c r="B5" i="6"/>
  <c r="N2" i="4"/>
  <c r="P2" i="4" s="1"/>
  <c r="R2" i="4"/>
  <c r="N18" i="4"/>
  <c r="P18" i="4" s="1"/>
  <c r="Q18" i="4" s="1"/>
  <c r="S18" i="4" s="1"/>
  <c r="R18" i="4"/>
  <c r="N29" i="4"/>
  <c r="P29" i="4" s="1"/>
  <c r="Q29" i="4" s="1"/>
  <c r="S29" i="4" s="1"/>
  <c r="R29" i="4"/>
  <c r="R27" i="4"/>
  <c r="N27" i="4"/>
  <c r="P27" i="4" s="1"/>
  <c r="Q27" i="4" s="1"/>
  <c r="S27" i="4" s="1"/>
  <c r="P8" i="4"/>
  <c r="Q8" i="4" s="1"/>
  <c r="R20" i="4"/>
  <c r="N20" i="4"/>
  <c r="P20" i="4" s="1"/>
  <c r="Q20" i="4" s="1"/>
  <c r="N26" i="4"/>
  <c r="P26" i="4" s="1"/>
  <c r="Q26" i="4" s="1"/>
  <c r="S26" i="4" s="1"/>
  <c r="R26" i="4"/>
  <c r="F5" i="6" l="1"/>
  <c r="S3" i="4"/>
  <c r="E7" i="6"/>
  <c r="S9" i="4"/>
  <c r="E9" i="6"/>
  <c r="S20" i="4"/>
  <c r="E5" i="6"/>
  <c r="S12" i="4"/>
  <c r="E8" i="6"/>
  <c r="B6" i="6"/>
  <c r="B8" i="6"/>
  <c r="F6" i="6"/>
  <c r="Q2" i="4"/>
  <c r="S8" i="4"/>
  <c r="E4" i="6"/>
  <c r="F8" i="6"/>
  <c r="D5" i="7" l="1"/>
  <c r="D3" i="7"/>
  <c r="D2" i="7"/>
  <c r="E6" i="6"/>
  <c r="B5" i="5"/>
  <c r="S2" i="4"/>
  <c r="B7" i="6"/>
  <c r="B9" i="6" l="1"/>
  <c r="B6" i="5"/>
</calcChain>
</file>

<file path=xl/sharedStrings.xml><?xml version="1.0" encoding="utf-8"?>
<sst xmlns="http://schemas.openxmlformats.org/spreadsheetml/2006/main" count="569" uniqueCount="290">
  <si>
    <t>Parametro</t>
  </si>
  <si>
    <t>Valor</t>
  </si>
  <si>
    <t>Descripcion</t>
  </si>
  <si>
    <t>Anio</t>
  </si>
  <si>
    <t>Ano fiscal editable</t>
  </si>
  <si>
    <t>Mes</t>
  </si>
  <si>
    <t>Mes de liquidacion 1-12</t>
  </si>
  <si>
    <t>DiasPeriodo</t>
  </si>
  <si>
    <t>Dias liquidados por periodo</t>
  </si>
  <si>
    <t>SMLMV</t>
  </si>
  <si>
    <t>Salario minimo legal mensual vigente 2026</t>
  </si>
  <si>
    <t>AuxTransporte</t>
  </si>
  <si>
    <t>Auxilio legal de transporte mensual 2026</t>
  </si>
  <si>
    <t>TopeAuxTransporte</t>
  </si>
  <si>
    <t>Aplica si salario base &lt;= 2 SMLMV</t>
  </si>
  <si>
    <t>HorasMes</t>
  </si>
  <si>
    <t>Base de horas mensuales para valor hora</t>
  </si>
  <si>
    <t>SaludEmpleado</t>
  </si>
  <si>
    <t>Aporte salud empleado</t>
  </si>
  <si>
    <t>PensionEmpleado</t>
  </si>
  <si>
    <t>Aporte pension empleado</t>
  </si>
  <si>
    <t>RiesgoValidacionSalarioAlto</t>
  </si>
  <si>
    <t>Umbral de alerta por salario alto</t>
  </si>
  <si>
    <t>FactorHoraExtraDiurna</t>
  </si>
  <si>
    <t>Factor sobre hora ordinaria</t>
  </si>
  <si>
    <t>FactorHoraExtraNocturna</t>
  </si>
  <si>
    <t>FactorRecargoNocturno</t>
  </si>
  <si>
    <t>Solo recargo adicional</t>
  </si>
  <si>
    <t>FactorDominicalFestivo</t>
  </si>
  <si>
    <t>FuenteSMLMV</t>
  </si>
  <si>
    <t>Decreto 1469 de 2025 / Presidencia Colombia</t>
  </si>
  <si>
    <t>Referencia normativa cargada en mayo de 2026</t>
  </si>
  <si>
    <t>FuenteAuxTransporte</t>
  </si>
  <si>
    <t>Decreto 1470 de 2025 / SUIN Juriscol</t>
  </si>
  <si>
    <t>ID</t>
  </si>
  <si>
    <t>Nombre</t>
  </si>
  <si>
    <t>Cargo</t>
  </si>
  <si>
    <t>Area</t>
  </si>
  <si>
    <t>SalarioBase</t>
  </si>
  <si>
    <t>TipoContrato</t>
  </si>
  <si>
    <t>HorasContratadas</t>
  </si>
  <si>
    <t>FechaIngreso</t>
  </si>
  <si>
    <t>EPS</t>
  </si>
  <si>
    <t>Pension</t>
  </si>
  <si>
    <t>Ciudad</t>
  </si>
  <si>
    <t>Activo</t>
  </si>
  <si>
    <t>ObservacionAgente</t>
  </si>
  <si>
    <t>EMP-0001</t>
  </si>
  <si>
    <t>Paula Torres</t>
  </si>
  <si>
    <t>Desarrollador Senior</t>
  </si>
  <si>
    <t>Finanzas</t>
  </si>
  <si>
    <t>Fijo</t>
  </si>
  <si>
    <t>Sanitas</t>
  </si>
  <si>
    <t>Proteccion</t>
  </si>
  <si>
    <t>Barranquilla</t>
  </si>
  <si>
    <t>Si</t>
  </si>
  <si>
    <t>EMP-0002</t>
  </si>
  <si>
    <t>Sofia Rodriguez</t>
  </si>
  <si>
    <t>Analista de Nomina</t>
  </si>
  <si>
    <t>Operaciones</t>
  </si>
  <si>
    <t>Nueva EPS</t>
  </si>
  <si>
    <t>Skandia</t>
  </si>
  <si>
    <t>Bogota</t>
  </si>
  <si>
    <t>EMP-0003</t>
  </si>
  <si>
    <t>Jorge Garcia</t>
  </si>
  <si>
    <t>Jefe de Talento Humano</t>
  </si>
  <si>
    <t>Comercial</t>
  </si>
  <si>
    <t>Compensar</t>
  </si>
  <si>
    <t>Colfondos</t>
  </si>
  <si>
    <t>Cali</t>
  </si>
  <si>
    <t>Salario actualizado desde Telegram: 1750905 -&gt; 2500000</t>
  </si>
  <si>
    <t>EMP-0004</t>
  </si>
  <si>
    <t>Ana Jimenez</t>
  </si>
  <si>
    <t>Asistente Administrativo</t>
  </si>
  <si>
    <t>Indefinido</t>
  </si>
  <si>
    <t>EMP-0005</t>
  </si>
  <si>
    <t>David Moreno</t>
  </si>
  <si>
    <t>Desarrollador Junior</t>
  </si>
  <si>
    <t>Famisanar</t>
  </si>
  <si>
    <t>EMP-0006</t>
  </si>
  <si>
    <t>Juan Sanchez</t>
  </si>
  <si>
    <t>Contador</t>
  </si>
  <si>
    <t>Tecnologia</t>
  </si>
  <si>
    <t>Sura</t>
  </si>
  <si>
    <t>EMP-0007</t>
  </si>
  <si>
    <t>Nicolas Diaz</t>
  </si>
  <si>
    <t>Administracion</t>
  </si>
  <si>
    <t>Aprendizaje</t>
  </si>
  <si>
    <t>Colpensiones</t>
  </si>
  <si>
    <t>Medellin</t>
  </si>
  <si>
    <t>EMP-0008</t>
  </si>
  <si>
    <t>Diego Castro</t>
  </si>
  <si>
    <t>Supervisor de Planta</t>
  </si>
  <si>
    <t>Obra labor</t>
  </si>
  <si>
    <t>Salud Total</t>
  </si>
  <si>
    <t>EMP-0009</t>
  </si>
  <si>
    <t>Isabella Diaz</t>
  </si>
  <si>
    <t>Coordinador Comercial</t>
  </si>
  <si>
    <t>EMP-0010</t>
  </si>
  <si>
    <t>Miguel Torres</t>
  </si>
  <si>
    <t>EMP-0011</t>
  </si>
  <si>
    <t>Sebastian Diaz</t>
  </si>
  <si>
    <t>Vendedor</t>
  </si>
  <si>
    <t>Talento Humano</t>
  </si>
  <si>
    <t>EMP-0012</t>
  </si>
  <si>
    <t>Paula Martinez</t>
  </si>
  <si>
    <t>Porvenir</t>
  </si>
  <si>
    <t>EMP-0013</t>
  </si>
  <si>
    <t>Diego Moreno</t>
  </si>
  <si>
    <t>Auxiliar Operativo</t>
  </si>
  <si>
    <t>EMP-0014</t>
  </si>
  <si>
    <t>Manuela Torres</t>
  </si>
  <si>
    <t>EMP-0015</t>
  </si>
  <si>
    <t>Mariana Lopez</t>
  </si>
  <si>
    <t>EMP-0016</t>
  </si>
  <si>
    <t>Laura Rojas</t>
  </si>
  <si>
    <t>EMP-0017</t>
  </si>
  <si>
    <t>Camila Jimenez</t>
  </si>
  <si>
    <t>EMP-0018</t>
  </si>
  <si>
    <t>Ana Gomez</t>
  </si>
  <si>
    <t>EMP-0019</t>
  </si>
  <si>
    <t>Jorge Vargas</t>
  </si>
  <si>
    <t>EMP-0020</t>
  </si>
  <si>
    <t>Natalia Garcia</t>
  </si>
  <si>
    <t>EMP-0021</t>
  </si>
  <si>
    <t>Jorge Gomez</t>
  </si>
  <si>
    <t>EMP-0022</t>
  </si>
  <si>
    <t>Paula Ramirez</t>
  </si>
  <si>
    <t>EMP-0023</t>
  </si>
  <si>
    <t>Ana Garcia</t>
  </si>
  <si>
    <t>EMP-0024</t>
  </si>
  <si>
    <t>Laura Sanchez</t>
  </si>
  <si>
    <t>EMP-0025</t>
  </si>
  <si>
    <t>Miguel Castro</t>
  </si>
  <si>
    <t>EMP-0026</t>
  </si>
  <si>
    <t>Daniel Vargas</t>
  </si>
  <si>
    <t>EMP-0027</t>
  </si>
  <si>
    <t>Camila Perez</t>
  </si>
  <si>
    <t>EMP-0028</t>
  </si>
  <si>
    <t>Manuela Diaz</t>
  </si>
  <si>
    <t>EMP-0029</t>
  </si>
  <si>
    <t>Natalia Lopez</t>
  </si>
  <si>
    <t>EMP-0030</t>
  </si>
  <si>
    <t>Isabella Lopez</t>
  </si>
  <si>
    <t>EMP-0031</t>
  </si>
  <si>
    <t>Sebastian Moreno</t>
  </si>
  <si>
    <t>Creado desde Telegram</t>
  </si>
  <si>
    <t>EMP-0032</t>
  </si>
  <si>
    <t>Carolina Hernandez</t>
  </si>
  <si>
    <t>EMP-0033</t>
  </si>
  <si>
    <t>Nicolas Rodriguez</t>
  </si>
  <si>
    <t>EMP-0034</t>
  </si>
  <si>
    <t>Nicolas Perez</t>
  </si>
  <si>
    <t>EMP-0035</t>
  </si>
  <si>
    <t>Andres Moreno</t>
  </si>
  <si>
    <t>EmpleadoID</t>
  </si>
  <si>
    <t>HorasOrdinarias</t>
  </si>
  <si>
    <t>HorasExtraDiurnas</t>
  </si>
  <si>
    <t>HorasExtraNocturnas</t>
  </si>
  <si>
    <t>HorasRecargoNocturno</t>
  </si>
  <si>
    <t>HorasDominicalFestivo</t>
  </si>
  <si>
    <t>DiasNoTrabajados</t>
  </si>
  <si>
    <t>Bonificaciones</t>
  </si>
  <si>
    <t>PrestamosDescuentos</t>
  </si>
  <si>
    <t>Observacion</t>
  </si>
  <si>
    <t>NOV-0001</t>
  </si>
  <si>
    <t>NOV-0002</t>
  </si>
  <si>
    <t>NOV-0003</t>
  </si>
  <si>
    <t>NOV-0004</t>
  </si>
  <si>
    <t>NOV-0005</t>
  </si>
  <si>
    <t>NOV-0006</t>
  </si>
  <si>
    <t>NOV-0007</t>
  </si>
  <si>
    <t>NOV-0008</t>
  </si>
  <si>
    <t>NOV-0009</t>
  </si>
  <si>
    <t>NOV-0010</t>
  </si>
  <si>
    <t>NOV-0011</t>
  </si>
  <si>
    <t>NOV-0012</t>
  </si>
  <si>
    <t>NOV-0013</t>
  </si>
  <si>
    <t>NOV-0014</t>
  </si>
  <si>
    <t>NOV-0015</t>
  </si>
  <si>
    <t>NOV-0016</t>
  </si>
  <si>
    <t>NOV-0017</t>
  </si>
  <si>
    <t>NOV-0018</t>
  </si>
  <si>
    <t>NOV-0019</t>
  </si>
  <si>
    <t>NOV-0020</t>
  </si>
  <si>
    <t>NOV-0021</t>
  </si>
  <si>
    <t>NOV-0022</t>
  </si>
  <si>
    <t>NOV-0023</t>
  </si>
  <si>
    <t>NOV-0024</t>
  </si>
  <si>
    <t>NOV-0025</t>
  </si>
  <si>
    <t>NOV-0026</t>
  </si>
  <si>
    <t>NOV-0027</t>
  </si>
  <si>
    <t>NOV-0028</t>
  </si>
  <si>
    <t>NOV-0029</t>
  </si>
  <si>
    <t>NOV-0030</t>
  </si>
  <si>
    <t>NOV-0031</t>
  </si>
  <si>
    <t>NOV-0032</t>
  </si>
  <si>
    <t>NOV-0033</t>
  </si>
  <si>
    <t>NOV-0034</t>
  </si>
  <si>
    <t>NOV-0035</t>
  </si>
  <si>
    <t>ValorHora</t>
  </si>
  <si>
    <t>SalarioDevengado</t>
  </si>
  <si>
    <t>ValorExtrasRecargos</t>
  </si>
  <si>
    <t>TotalDevengado</t>
  </si>
  <si>
    <t>Salud</t>
  </si>
  <si>
    <t>RetencionFuente</t>
  </si>
  <si>
    <t>TotalDeducciones</t>
  </si>
  <si>
    <t>NetoAPagar</t>
  </si>
  <si>
    <t>CostoEmpresaEstimado</t>
  </si>
  <si>
    <t>EstadoAgente</t>
  </si>
  <si>
    <t>Regla</t>
  </si>
  <si>
    <t>Resultado</t>
  </si>
  <si>
    <t>Accion sugerida</t>
  </si>
  <si>
    <t>Empleados sin nombre</t>
  </si>
  <si>
    <t>Completar nombre o eliminar registro vacio</t>
  </si>
  <si>
    <t>Salarios por debajo de SMLMV</t>
  </si>
  <si>
    <t>Ajustar salario base a minimo legal o justificar excepcion</t>
  </si>
  <si>
    <t>Horas ordinarias fuera de rango</t>
  </si>
  <si>
    <t>Revisar horas ordinarias del periodo</t>
  </si>
  <si>
    <t>Netos negativos</t>
  </si>
  <si>
    <t>Revisar deducciones, prestamos o novedades</t>
  </si>
  <si>
    <t>Registros marcados por agente</t>
  </si>
  <si>
    <t>Filtrar EstadoAgente en Calculo_Nomina</t>
  </si>
  <si>
    <t>Resumen de nomina</t>
  </si>
  <si>
    <t>Costo por area</t>
  </si>
  <si>
    <t>Periodo</t>
  </si>
  <si>
    <t>Neto a pagar</t>
  </si>
  <si>
    <t>Costo estimado</t>
  </si>
  <si>
    <t>Empleados activos</t>
  </si>
  <si>
    <t>Total devengado</t>
  </si>
  <si>
    <t>Total deducciones</t>
  </si>
  <si>
    <t>Total neto a pagar</t>
  </si>
  <si>
    <t>Costo empresa estimado</t>
  </si>
  <si>
    <t>Alertas abiertas</t>
  </si>
  <si>
    <t>Escenario</t>
  </si>
  <si>
    <t>Resultado estimado</t>
  </si>
  <si>
    <t>Formula/accion</t>
  </si>
  <si>
    <t>Base actual</t>
  </si>
  <si>
    <t>Aumento salarial</t>
  </si>
  <si>
    <t>Neto a pagar actual</t>
  </si>
  <si>
    <t>Simular aumento 10%</t>
  </si>
  <si>
    <t>Impacto aproximado sobre neto</t>
  </si>
  <si>
    <t>Agregar 5 empleados minimo</t>
  </si>
  <si>
    <t>Cantidad</t>
  </si>
  <si>
    <t>Costo salarial base antes de aportes</t>
  </si>
  <si>
    <t>Sin auxilio transporte</t>
  </si>
  <si>
    <t>Auxilio</t>
  </si>
  <si>
    <t>Comparativo sin auxilio</t>
  </si>
  <si>
    <t>Interfaz inteligente: comandos soportados</t>
  </si>
  <si>
    <t>Comando natural</t>
  </si>
  <si>
    <t>Como se ejecuta en el libro</t>
  </si>
  <si>
    <t>Estado</t>
  </si>
  <si>
    <t>Agrega 5 empleados con salario minimo</t>
  </si>
  <si>
    <t>Duplicar 5 filas base en Empleados con SalarioBase = Parametros!SMLMV y crear sus novedades</t>
  </si>
  <si>
    <t>Plantilla lista</t>
  </si>
  <si>
    <t>Calcula nomina del mes</t>
  </si>
  <si>
    <t>Automatico</t>
  </si>
  <si>
    <t>Simula aumento del 10%</t>
  </si>
  <si>
    <t>Usar fila Simular aumento 10% en Escenarios o cambiar C3</t>
  </si>
  <si>
    <t>Revisa errores</t>
  </si>
  <si>
    <t>Abrir Validaciones y filtrar EstadoAgente en Calculo_Nomina</t>
  </si>
  <si>
    <t>Genera reporte de fin de mes</t>
  </si>
  <si>
    <t>Reporte_Gerencial consolida totales, costos por area y graficos</t>
  </si>
  <si>
    <t>Nota operativa</t>
  </si>
  <si>
    <t>Este archivo usa formulas, tablas, validaciones y recalculo al abrir. Para eventos 100% activos tipo macro, se puede migrar a .xlsm u Office Scripts sobre esta misma estructura.</t>
  </si>
  <si>
    <t>Workflow</t>
  </si>
  <si>
    <t>Disparador</t>
  </si>
  <si>
    <t>Accion automatizada</t>
  </si>
  <si>
    <t>Implementacion actual</t>
  </si>
  <si>
    <t>Alta empleado</t>
  </si>
  <si>
    <t>Nueva fila en Empleados</t>
  </si>
  <si>
    <t>Generar registro completo y novedades</t>
  </si>
  <si>
    <t>Tabla estructurada + validaciones + plantilla en Agente_NL</t>
  </si>
  <si>
    <t>Cambio salario</t>
  </si>
  <si>
    <t>Cambio en SalarioBase</t>
  </si>
  <si>
    <t>Recalcular devengado, deducciones, neto y alertas</t>
  </si>
  <si>
    <t>Formulas enlazadas con recalculo automatico</t>
  </si>
  <si>
    <t>Fin de mes</t>
  </si>
  <si>
    <t>Cambio Mes/Anio o cierre periodo</t>
  </si>
  <si>
    <t>Actualizar resumen y graficos</t>
  </si>
  <si>
    <t>Reporte_Gerencial con formulas y graficos</t>
  </si>
  <si>
    <t>Control errores</t>
  </si>
  <si>
    <t>Datos fuera de rango</t>
  </si>
  <si>
    <t>Marcar errores y sugerir correccion</t>
  </si>
  <si>
    <t>Validaciones + EstadoAgente + formato condicional</t>
  </si>
  <si>
    <t>Simulacion</t>
  </si>
  <si>
    <t>Cambio de escenario</t>
  </si>
  <si>
    <t>Estimar impacto financiero</t>
  </si>
  <si>
    <t>Hoja Escenarios</t>
  </si>
  <si>
    <t>Editar Parametros Mes/Año; Excel recalcula Calculo_Nomina y Reporte_Gerencial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</si>
</sst>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yyyy\-mm\-dd"/>
    <numFmt numFmtId="166" formatCode="mmmm\ 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F4E78"/>
      <name val="Calibri"/>
    </font>
    <font>
      <b/>
      <sz val="11"/>
      <name val="Calibri"/>
    </font>
    <font>
      <b/>
      <sz val="11"/>
      <color rgb="FF1F4E78"/>
      <name val="Calibri"/>
    </font>
    <font>
      <b/>
      <sz val="16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6" fontId="1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5" fontId="0" fillId="0" borderId="0" xfId="0" applyNumberFormat="1"/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Neto a pagar por area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Reporte_Gerencial!$E$3</c:f>
              <c:strCache>
                <c:ptCount val="1"/>
                <c:pt idx="0">
                  <c:v>Neto a pagar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Reporte_Gerencial!$D$4:$D$9</c:f>
              <c:strCache>
                <c:ptCount val="6"/>
                <c:pt idx="0">
                  <c:v>Administracion</c:v>
                </c:pt>
                <c:pt idx="1">
                  <c:v>Comercial</c:v>
                </c:pt>
                <c:pt idx="2">
                  <c:v>Finanzas</c:v>
                </c:pt>
                <c:pt idx="3">
                  <c:v>Operaciones</c:v>
                </c:pt>
                <c:pt idx="4">
                  <c:v>Talento Humano</c:v>
                </c:pt>
                <c:pt idx="5">
                  <c:v>Tecnologia</c:v>
                </c:pt>
              </c:strCache>
            </c:strRef>
          </c:cat>
          <c:val>
            <c:numRef>
              <c:f>Reporte_Gerencial!$E$4:$E$9</c:f>
              <c:numCache>
                <c:formatCode>"$"#,##0</c:formatCode>
                <c:ptCount val="6"/>
                <c:pt idx="0">
                  <c:v>7880677</c:v>
                </c:pt>
                <c:pt idx="1">
                  <c:v>20180538</c:v>
                </c:pt>
                <c:pt idx="2">
                  <c:v>15172159</c:v>
                </c:pt>
                <c:pt idx="3">
                  <c:v>18930462</c:v>
                </c:pt>
                <c:pt idx="4">
                  <c:v>25371767</c:v>
                </c:pt>
                <c:pt idx="5">
                  <c:v>24836606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4-4CB6-B857-AE6B784AC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Area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COP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Distribucion costo estimado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Reporte_Gerencial!$F$3</c:f>
              <c:strCache>
                <c:ptCount val="1"/>
                <c:pt idx="0">
                  <c:v>Costo estimado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Reporte_Gerencial!$D$4:$D$9</c:f>
              <c:strCache>
                <c:ptCount val="6"/>
                <c:pt idx="0">
                  <c:v>Administracion</c:v>
                </c:pt>
                <c:pt idx="1">
                  <c:v>Comercial</c:v>
                </c:pt>
                <c:pt idx="2">
                  <c:v>Finanzas</c:v>
                </c:pt>
                <c:pt idx="3">
                  <c:v>Operaciones</c:v>
                </c:pt>
                <c:pt idx="4">
                  <c:v>Talento Humano</c:v>
                </c:pt>
                <c:pt idx="5">
                  <c:v>Tecnologia</c:v>
                </c:pt>
              </c:strCache>
            </c:strRef>
          </c:cat>
          <c:val>
            <c:numRef>
              <c:f>Reporte_Gerencial!$F$4:$F$9</c:f>
              <c:numCache>
                <c:formatCode>"$"#,##0</c:formatCode>
                <c:ptCount val="6"/>
                <c:pt idx="0">
                  <c:v>10252554</c:v>
                </c:pt>
                <c:pt idx="1">
                  <c:v>26892077</c:v>
                </c:pt>
                <c:pt idx="2">
                  <c:v>20218459</c:v>
                </c:pt>
                <c:pt idx="3">
                  <c:v>25152694</c:v>
                </c:pt>
                <c:pt idx="4">
                  <c:v>34153431</c:v>
                </c:pt>
                <c:pt idx="5">
                  <c:v>33084926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6-4639-8920-9BE55A9DE12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609599</xdr:colOff>
      <xdr:row>19</xdr:row>
      <xdr:rowOff>28574</xdr:rowOff>
    </xdr:from>
    <xdr:ext cx="6743701" cy="39528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rametros" displayName="tblParametros" ref="A1:C17">
  <autoFilter ref="A1:C17" xr:uid="{00000000-0009-0000-0100-000001000000}"/>
  <tableColumns count="3">
    <tableColumn id="1" xr3:uid="{00000000-0010-0000-0000-000001000000}" name="Parametro"/>
    <tableColumn id="2" xr3:uid="{00000000-0010-0000-0000-000002000000}" name="Valor"/>
    <tableColumn id="3" xr3:uid="{00000000-0010-0000-0000-000003000000}" name="Descrip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Empleados" displayName="tblEmpleados" ref="A1:M36">
  <autoFilter ref="A1:M36" xr:uid="{00000000-0009-0000-0100-000002000000}"/>
  <tableColumns count="13">
    <tableColumn id="1" xr3:uid="{00000000-0010-0000-0100-000001000000}" name="ID"/>
    <tableColumn id="2" xr3:uid="{00000000-0010-0000-0100-000002000000}" name="Nombre"/>
    <tableColumn id="3" xr3:uid="{00000000-0010-0000-0100-000003000000}" name="Cargo"/>
    <tableColumn id="4" xr3:uid="{00000000-0010-0000-0100-000004000000}" name="Area"/>
    <tableColumn id="5" xr3:uid="{00000000-0010-0000-0100-000005000000}" name="SalarioBase"/>
    <tableColumn id="6" xr3:uid="{00000000-0010-0000-0100-000006000000}" name="TipoContrato"/>
    <tableColumn id="7" xr3:uid="{00000000-0010-0000-0100-000007000000}" name="HorasContratadas"/>
    <tableColumn id="8" xr3:uid="{00000000-0010-0000-0100-000008000000}" name="FechaIngreso"/>
    <tableColumn id="9" xr3:uid="{00000000-0010-0000-0100-000009000000}" name="EPS"/>
    <tableColumn id="10" xr3:uid="{00000000-0010-0000-0100-00000A000000}" name="Pension"/>
    <tableColumn id="11" xr3:uid="{00000000-0010-0000-0100-00000B000000}" name="Ciudad"/>
    <tableColumn id="12" xr3:uid="{00000000-0010-0000-0100-00000C000000}" name="Activo"/>
    <tableColumn id="13" xr3:uid="{00000000-0010-0000-0100-00000D000000}" name="ObservacionAg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Novedades" displayName="tblNovedades" ref="A1:K36">
  <autoFilter ref="A1:K36" xr:uid="{00000000-0009-0000-0100-000003000000}"/>
  <tableColumns count="11">
    <tableColumn id="1" xr3:uid="{00000000-0010-0000-0200-000001000000}" name="ID"/>
    <tableColumn id="2" xr3:uid="{00000000-0010-0000-0200-000002000000}" name="EmpleadoID"/>
    <tableColumn id="3" xr3:uid="{00000000-0010-0000-0200-000003000000}" name="HorasOrdinarias"/>
    <tableColumn id="4" xr3:uid="{00000000-0010-0000-0200-000004000000}" name="HorasExtraDiurnas"/>
    <tableColumn id="5" xr3:uid="{00000000-0010-0000-0200-000005000000}" name="HorasExtraNocturnas"/>
    <tableColumn id="6" xr3:uid="{00000000-0010-0000-0200-000006000000}" name="HorasRecargoNocturno"/>
    <tableColumn id="7" xr3:uid="{00000000-0010-0000-0200-000007000000}" name="HorasDominicalFestivo"/>
    <tableColumn id="8" xr3:uid="{00000000-0010-0000-0200-000008000000}" name="DiasNoTrabajados"/>
    <tableColumn id="9" xr3:uid="{00000000-0010-0000-0200-000009000000}" name="Bonificaciones"/>
    <tableColumn id="10" xr3:uid="{00000000-0010-0000-0200-00000A000000}" name="PrestamosDescuentos"/>
    <tableColumn id="11" xr3:uid="{00000000-0010-0000-0200-00000B000000}" name="Observ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alculoNomina" displayName="tblCalculoNomina" ref="A1:S31">
  <autoFilter ref="A1:S31" xr:uid="{00000000-0009-0000-0100-000004000000}"/>
  <tableColumns count="19">
    <tableColumn id="1" xr3:uid="{00000000-0010-0000-0300-000001000000}" name="EmpleadoID"/>
    <tableColumn id="2" xr3:uid="{00000000-0010-0000-0300-000002000000}" name="Nombre"/>
    <tableColumn id="3" xr3:uid="{00000000-0010-0000-0300-000003000000}" name="Cargo"/>
    <tableColumn id="4" xr3:uid="{00000000-0010-0000-0300-000004000000}" name="Area"/>
    <tableColumn id="5" xr3:uid="{00000000-0010-0000-0300-000005000000}" name="SalarioBase"/>
    <tableColumn id="6" xr3:uid="{00000000-0010-0000-0300-000006000000}" name="ValorHora"/>
    <tableColumn id="7" xr3:uid="{00000000-0010-0000-0300-000007000000}" name="SalarioDevengado"/>
    <tableColumn id="8" xr3:uid="{00000000-0010-0000-0300-000008000000}" name="AuxTransporte"/>
    <tableColumn id="9" xr3:uid="{00000000-0010-0000-0300-000009000000}" name="ValorExtrasRecargos"/>
    <tableColumn id="10" xr3:uid="{00000000-0010-0000-0300-00000A000000}" name="Bonificaciones"/>
    <tableColumn id="11" xr3:uid="{00000000-0010-0000-0300-00000B000000}" name="TotalDevengado"/>
    <tableColumn id="12" xr3:uid="{00000000-0010-0000-0300-00000C000000}" name="Salud"/>
    <tableColumn id="13" xr3:uid="{00000000-0010-0000-0300-00000D000000}" name="Pension"/>
    <tableColumn id="14" xr3:uid="{00000000-0010-0000-0300-00000E000000}" name="RetencionFuente"/>
    <tableColumn id="15" xr3:uid="{00000000-0010-0000-0300-00000F000000}" name="PrestamosDescuentos"/>
    <tableColumn id="16" xr3:uid="{00000000-0010-0000-0300-000010000000}" name="TotalDeducciones"/>
    <tableColumn id="17" xr3:uid="{00000000-0010-0000-0300-000011000000}" name="NetoAPagar"/>
    <tableColumn id="18" xr3:uid="{00000000-0010-0000-0300-000012000000}" name="CostoEmpresaEstimado"/>
    <tableColumn id="19" xr3:uid="{00000000-0010-0000-0300-000013000000}" name="EstadoAge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Validaciones" displayName="tblValidaciones" ref="A1:C6">
  <autoFilter ref="A1:C6" xr:uid="{00000000-0009-0000-0100-000005000000}"/>
  <tableColumns count="3">
    <tableColumn id="1" xr3:uid="{00000000-0010-0000-0400-000001000000}" name="Regla"/>
    <tableColumn id="2" xr3:uid="{00000000-0010-0000-0400-000002000000}" name="Resultado"/>
    <tableColumn id="3" xr3:uid="{00000000-0010-0000-0400-000003000000}" name="Accion sugerid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Escenarios" displayName="tblEscenarios" ref="A1:E5">
  <autoFilter ref="A1:E5" xr:uid="{00000000-0009-0000-0100-000006000000}"/>
  <tableColumns count="5">
    <tableColumn id="1" xr3:uid="{00000000-0010-0000-0500-000001000000}" name="Escenario"/>
    <tableColumn id="2" xr3:uid="{00000000-0010-0000-0500-000002000000}" name="Parametro"/>
    <tableColumn id="3" xr3:uid="{00000000-0010-0000-0500-000003000000}" name="Valor"/>
    <tableColumn id="4" xr3:uid="{00000000-0010-0000-0500-000004000000}" name="Resultado estimado"/>
    <tableColumn id="5" xr3:uid="{00000000-0010-0000-0500-000005000000}" name="Formula/ac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Workflows" displayName="tblWorkflows" ref="A1:D6">
  <autoFilter ref="A1:D6" xr:uid="{00000000-0009-0000-0100-000007000000}"/>
  <tableColumns count="4">
    <tableColumn id="1" xr3:uid="{00000000-0010-0000-0600-000001000000}" name="Workflow"/>
    <tableColumn id="2" xr3:uid="{00000000-0010-0000-0600-000002000000}" name="Disparador"/>
    <tableColumn id="3" xr3:uid="{00000000-0010-0000-0600-000003000000}" name="Accion automatizada"/>
    <tableColumn id="4" xr3:uid="{00000000-0010-0000-0600-000004000000}" name="Implementacion 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4" customWidth="1"/>
    <col min="3" max="3" width="5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2026</v>
      </c>
      <c r="C2" s="2" t="s">
        <v>4</v>
      </c>
    </row>
    <row r="3" spans="1:3" x14ac:dyDescent="0.25">
      <c r="A3" s="2" t="s">
        <v>5</v>
      </c>
      <c r="B3" s="3">
        <v>5</v>
      </c>
      <c r="C3" s="2" t="s">
        <v>6</v>
      </c>
    </row>
    <row r="4" spans="1:3" x14ac:dyDescent="0.25">
      <c r="A4" s="2" t="s">
        <v>7</v>
      </c>
      <c r="B4" s="3">
        <v>30</v>
      </c>
      <c r="C4" s="2" t="s">
        <v>8</v>
      </c>
    </row>
    <row r="5" spans="1:3" x14ac:dyDescent="0.25">
      <c r="A5" s="2" t="s">
        <v>9</v>
      </c>
      <c r="B5" s="4">
        <v>1750905</v>
      </c>
      <c r="C5" s="2" t="s">
        <v>10</v>
      </c>
    </row>
    <row r="6" spans="1:3" x14ac:dyDescent="0.25">
      <c r="A6" s="2" t="s">
        <v>11</v>
      </c>
      <c r="B6" s="4">
        <v>249095</v>
      </c>
      <c r="C6" s="2" t="s">
        <v>12</v>
      </c>
    </row>
    <row r="7" spans="1:3" x14ac:dyDescent="0.25">
      <c r="A7" s="2" t="s">
        <v>13</v>
      </c>
      <c r="B7" s="4">
        <v>3501810</v>
      </c>
      <c r="C7" s="2" t="s">
        <v>14</v>
      </c>
    </row>
    <row r="8" spans="1:3" x14ac:dyDescent="0.25">
      <c r="A8" s="2" t="s">
        <v>15</v>
      </c>
      <c r="B8" s="3">
        <v>240</v>
      </c>
      <c r="C8" s="2" t="s">
        <v>16</v>
      </c>
    </row>
    <row r="9" spans="1:3" x14ac:dyDescent="0.25">
      <c r="A9" s="2" t="s">
        <v>17</v>
      </c>
      <c r="B9" s="5">
        <v>0.04</v>
      </c>
      <c r="C9" s="2" t="s">
        <v>18</v>
      </c>
    </row>
    <row r="10" spans="1:3" x14ac:dyDescent="0.25">
      <c r="A10" s="2" t="s">
        <v>19</v>
      </c>
      <c r="B10" s="5">
        <v>0.04</v>
      </c>
      <c r="C10" s="2" t="s">
        <v>20</v>
      </c>
    </row>
    <row r="11" spans="1:3" x14ac:dyDescent="0.25">
      <c r="A11" s="2" t="s">
        <v>21</v>
      </c>
      <c r="B11" s="4">
        <v>20000000</v>
      </c>
      <c r="C11" s="2" t="s">
        <v>22</v>
      </c>
    </row>
    <row r="12" spans="1:3" x14ac:dyDescent="0.25">
      <c r="A12" s="2" t="s">
        <v>23</v>
      </c>
      <c r="B12" s="2">
        <v>1.25</v>
      </c>
      <c r="C12" s="2" t="s">
        <v>24</v>
      </c>
    </row>
    <row r="13" spans="1:3" x14ac:dyDescent="0.25">
      <c r="A13" s="2" t="s">
        <v>25</v>
      </c>
      <c r="B13" s="2">
        <v>1.75</v>
      </c>
      <c r="C13" s="2" t="s">
        <v>24</v>
      </c>
    </row>
    <row r="14" spans="1:3" x14ac:dyDescent="0.25">
      <c r="A14" s="2" t="s">
        <v>26</v>
      </c>
      <c r="B14" s="5">
        <v>0.35</v>
      </c>
      <c r="C14" s="2" t="s">
        <v>27</v>
      </c>
    </row>
    <row r="15" spans="1:3" x14ac:dyDescent="0.25">
      <c r="A15" s="2" t="s">
        <v>28</v>
      </c>
      <c r="B15" s="2">
        <v>1.75</v>
      </c>
      <c r="C15" s="2" t="s">
        <v>24</v>
      </c>
    </row>
    <row r="16" spans="1:3" ht="30" customHeight="1" x14ac:dyDescent="0.25">
      <c r="A16" s="2" t="s">
        <v>29</v>
      </c>
      <c r="B16" s="2" t="s">
        <v>30</v>
      </c>
      <c r="C16" s="2" t="s">
        <v>31</v>
      </c>
    </row>
    <row r="17" spans="1:3" ht="30" customHeight="1" x14ac:dyDescent="0.25">
      <c r="A17" s="2" t="s">
        <v>32</v>
      </c>
      <c r="B17" s="2" t="s">
        <v>33</v>
      </c>
      <c r="C17" s="2" t="s">
        <v>31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1"/>
  <sheetViews>
    <sheetView showGridLines="0" workbookViewId="0">
      <pane ySplit="1" topLeftCell="A9" activePane="bottomLeft" state="frozen"/>
      <selection pane="bottomLeft" activeCell="L46" sqref="L46"/>
    </sheetView>
  </sheetViews>
  <sheetFormatPr baseColWidth="10" defaultColWidth="9.140625" defaultRowHeight="15" x14ac:dyDescent="0.25"/>
  <cols>
    <col min="1" max="1" width="12" customWidth="1"/>
    <col min="2" max="2" width="24" customWidth="1"/>
    <col min="3" max="3" width="26" customWidth="1"/>
    <col min="4" max="4" width="18" customWidth="1"/>
    <col min="5" max="5" width="15" customWidth="1"/>
    <col min="6" max="7" width="16" customWidth="1"/>
    <col min="8" max="8" width="14" customWidth="1"/>
    <col min="9" max="10" width="16" customWidth="1"/>
    <col min="11" max="11" width="14" customWidth="1"/>
    <col min="12" max="12" width="10" customWidth="1"/>
    <col min="13" max="13" width="36" customWidth="1"/>
  </cols>
  <sheetData>
    <row r="1" spans="1:13" ht="30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</row>
    <row r="2" spans="1:13" x14ac:dyDescent="0.25">
      <c r="A2" s="2" t="s">
        <v>47</v>
      </c>
      <c r="B2" s="2" t="s">
        <v>48</v>
      </c>
      <c r="C2" s="2" t="s">
        <v>49</v>
      </c>
      <c r="D2" s="2" t="s">
        <v>50</v>
      </c>
      <c r="E2" s="4">
        <v>1750905</v>
      </c>
      <c r="F2" s="2" t="s">
        <v>51</v>
      </c>
      <c r="G2" s="2">
        <v>240</v>
      </c>
      <c r="H2" s="6">
        <v>44875</v>
      </c>
      <c r="I2" s="2" t="s">
        <v>52</v>
      </c>
      <c r="J2" s="2" t="s">
        <v>53</v>
      </c>
      <c r="K2" s="2" t="s">
        <v>54</v>
      </c>
      <c r="L2" s="2" t="s">
        <v>55</v>
      </c>
      <c r="M2" s="2"/>
    </row>
    <row r="3" spans="1:13" x14ac:dyDescent="0.25">
      <c r="A3" s="2" t="s">
        <v>56</v>
      </c>
      <c r="B3" s="2" t="s">
        <v>57</v>
      </c>
      <c r="C3" s="2" t="s">
        <v>58</v>
      </c>
      <c r="D3" s="2" t="s">
        <v>59</v>
      </c>
      <c r="E3" s="4">
        <v>1750905</v>
      </c>
      <c r="F3" s="2" t="s">
        <v>51</v>
      </c>
      <c r="G3" s="2">
        <v>240</v>
      </c>
      <c r="H3" s="6">
        <v>43554</v>
      </c>
      <c r="I3" s="2" t="s">
        <v>60</v>
      </c>
      <c r="J3" s="2" t="s">
        <v>61</v>
      </c>
      <c r="K3" s="2" t="s">
        <v>62</v>
      </c>
      <c r="L3" s="2" t="s">
        <v>55</v>
      </c>
      <c r="M3" s="2"/>
    </row>
    <row r="4" spans="1:13" ht="30" x14ac:dyDescent="0.25">
      <c r="A4" s="2" t="s">
        <v>63</v>
      </c>
      <c r="B4" s="2" t="s">
        <v>64</v>
      </c>
      <c r="C4" s="2" t="s">
        <v>65</v>
      </c>
      <c r="D4" s="2" t="s">
        <v>66</v>
      </c>
      <c r="E4" s="4">
        <v>2500000</v>
      </c>
      <c r="F4" s="2" t="s">
        <v>51</v>
      </c>
      <c r="G4" s="2">
        <v>240</v>
      </c>
      <c r="H4" s="6">
        <v>45289</v>
      </c>
      <c r="I4" s="2" t="s">
        <v>67</v>
      </c>
      <c r="J4" s="2" t="s">
        <v>68</v>
      </c>
      <c r="K4" s="2" t="s">
        <v>69</v>
      </c>
      <c r="L4" s="2" t="s">
        <v>55</v>
      </c>
      <c r="M4" s="2" t="s">
        <v>70</v>
      </c>
    </row>
    <row r="5" spans="1:13" x14ac:dyDescent="0.25">
      <c r="A5" s="2" t="s">
        <v>71</v>
      </c>
      <c r="B5" s="2" t="s">
        <v>72</v>
      </c>
      <c r="C5" s="2" t="s">
        <v>73</v>
      </c>
      <c r="D5" s="2" t="s">
        <v>50</v>
      </c>
      <c r="E5" s="4">
        <v>1750905</v>
      </c>
      <c r="F5" s="2" t="s">
        <v>74</v>
      </c>
      <c r="G5" s="2">
        <v>240</v>
      </c>
      <c r="H5" s="6">
        <v>45971</v>
      </c>
      <c r="I5" s="2" t="s">
        <v>67</v>
      </c>
      <c r="J5" s="2" t="s">
        <v>68</v>
      </c>
      <c r="K5" s="2" t="s">
        <v>69</v>
      </c>
      <c r="L5" s="2" t="s">
        <v>55</v>
      </c>
      <c r="M5" s="2"/>
    </row>
    <row r="6" spans="1:13" x14ac:dyDescent="0.25">
      <c r="A6" s="2" t="s">
        <v>75</v>
      </c>
      <c r="B6" s="2" t="s">
        <v>76</v>
      </c>
      <c r="C6" s="2" t="s">
        <v>77</v>
      </c>
      <c r="D6" s="2" t="s">
        <v>59</v>
      </c>
      <c r="E6" s="4">
        <v>1750905</v>
      </c>
      <c r="F6" s="2" t="s">
        <v>51</v>
      </c>
      <c r="G6" s="2">
        <v>240</v>
      </c>
      <c r="H6" s="6">
        <v>44106</v>
      </c>
      <c r="I6" s="2" t="s">
        <v>78</v>
      </c>
      <c r="J6" s="2" t="s">
        <v>53</v>
      </c>
      <c r="K6" s="2" t="s">
        <v>69</v>
      </c>
      <c r="L6" s="2" t="s">
        <v>55</v>
      </c>
      <c r="M6" s="2"/>
    </row>
    <row r="7" spans="1:13" x14ac:dyDescent="0.25">
      <c r="A7" s="2" t="s">
        <v>79</v>
      </c>
      <c r="B7" s="2" t="s">
        <v>80</v>
      </c>
      <c r="C7" s="2" t="s">
        <v>81</v>
      </c>
      <c r="D7" s="2" t="s">
        <v>82</v>
      </c>
      <c r="E7" s="4">
        <v>4940000</v>
      </c>
      <c r="F7" s="2" t="s">
        <v>74</v>
      </c>
      <c r="G7" s="2">
        <v>240</v>
      </c>
      <c r="H7" s="6">
        <v>43663</v>
      </c>
      <c r="I7" s="2" t="s">
        <v>83</v>
      </c>
      <c r="J7" s="2" t="s">
        <v>68</v>
      </c>
      <c r="K7" s="2" t="s">
        <v>54</v>
      </c>
      <c r="L7" s="2" t="s">
        <v>55</v>
      </c>
      <c r="M7" s="2"/>
    </row>
    <row r="8" spans="1:13" x14ac:dyDescent="0.25">
      <c r="A8" s="2" t="s">
        <v>84</v>
      </c>
      <c r="B8" s="2" t="s">
        <v>85</v>
      </c>
      <c r="C8" s="2" t="s">
        <v>81</v>
      </c>
      <c r="D8" s="2" t="s">
        <v>86</v>
      </c>
      <c r="E8" s="4">
        <v>5720000</v>
      </c>
      <c r="F8" s="2" t="s">
        <v>87</v>
      </c>
      <c r="G8" s="2">
        <v>240</v>
      </c>
      <c r="H8" s="6">
        <v>45940</v>
      </c>
      <c r="I8" s="2" t="s">
        <v>60</v>
      </c>
      <c r="J8" s="2" t="s">
        <v>88</v>
      </c>
      <c r="K8" s="2" t="s">
        <v>89</v>
      </c>
      <c r="L8" s="2" t="s">
        <v>55</v>
      </c>
      <c r="M8" s="2"/>
    </row>
    <row r="9" spans="1:13" x14ac:dyDescent="0.25">
      <c r="A9" s="2" t="s">
        <v>90</v>
      </c>
      <c r="B9" s="2" t="s">
        <v>91</v>
      </c>
      <c r="C9" s="2" t="s">
        <v>92</v>
      </c>
      <c r="D9" s="2" t="s">
        <v>82</v>
      </c>
      <c r="E9" s="4">
        <v>3600000</v>
      </c>
      <c r="F9" s="2" t="s">
        <v>93</v>
      </c>
      <c r="G9" s="2">
        <v>240</v>
      </c>
      <c r="H9" s="6">
        <v>44279</v>
      </c>
      <c r="I9" s="2" t="s">
        <v>94</v>
      </c>
      <c r="J9" s="2" t="s">
        <v>61</v>
      </c>
      <c r="K9" s="2" t="s">
        <v>69</v>
      </c>
      <c r="L9" s="2" t="s">
        <v>55</v>
      </c>
      <c r="M9" s="2"/>
    </row>
    <row r="10" spans="1:13" x14ac:dyDescent="0.25">
      <c r="A10" s="2" t="s">
        <v>95</v>
      </c>
      <c r="B10" s="2" t="s">
        <v>96</v>
      </c>
      <c r="C10" s="2" t="s">
        <v>97</v>
      </c>
      <c r="D10" s="2" t="s">
        <v>66</v>
      </c>
      <c r="E10" s="4">
        <v>5400000</v>
      </c>
      <c r="F10" s="2" t="s">
        <v>74</v>
      </c>
      <c r="G10" s="2">
        <v>240</v>
      </c>
      <c r="H10" s="6">
        <v>45072</v>
      </c>
      <c r="I10" s="2" t="s">
        <v>94</v>
      </c>
      <c r="J10" s="2" t="s">
        <v>53</v>
      </c>
      <c r="K10" s="2" t="s">
        <v>62</v>
      </c>
      <c r="L10" s="2" t="s">
        <v>55</v>
      </c>
      <c r="M10" s="2"/>
    </row>
    <row r="11" spans="1:13" x14ac:dyDescent="0.25">
      <c r="A11" s="2" t="s">
        <v>98</v>
      </c>
      <c r="B11" s="2" t="s">
        <v>99</v>
      </c>
      <c r="C11" s="2" t="s">
        <v>77</v>
      </c>
      <c r="D11" s="2" t="s">
        <v>59</v>
      </c>
      <c r="E11" s="4">
        <v>3800000</v>
      </c>
      <c r="F11" s="2" t="s">
        <v>51</v>
      </c>
      <c r="G11" s="2">
        <v>240</v>
      </c>
      <c r="H11" s="6">
        <v>45213</v>
      </c>
      <c r="I11" s="2" t="s">
        <v>67</v>
      </c>
      <c r="J11" s="2" t="s">
        <v>88</v>
      </c>
      <c r="K11" s="2" t="s">
        <v>89</v>
      </c>
      <c r="L11" s="2" t="s">
        <v>55</v>
      </c>
      <c r="M11" s="2"/>
    </row>
    <row r="12" spans="1:13" x14ac:dyDescent="0.25">
      <c r="A12" s="2" t="s">
        <v>100</v>
      </c>
      <c r="B12" s="2" t="s">
        <v>101</v>
      </c>
      <c r="C12" s="2" t="s">
        <v>102</v>
      </c>
      <c r="D12" s="2" t="s">
        <v>103</v>
      </c>
      <c r="E12" s="4">
        <v>2185000</v>
      </c>
      <c r="F12" s="2" t="s">
        <v>51</v>
      </c>
      <c r="G12" s="2">
        <v>240</v>
      </c>
      <c r="H12" s="6">
        <v>45733</v>
      </c>
      <c r="I12" s="2" t="s">
        <v>67</v>
      </c>
      <c r="J12" s="2" t="s">
        <v>68</v>
      </c>
      <c r="K12" s="2" t="s">
        <v>69</v>
      </c>
      <c r="L12" s="2" t="s">
        <v>55</v>
      </c>
      <c r="M12" s="2"/>
    </row>
    <row r="13" spans="1:13" x14ac:dyDescent="0.25">
      <c r="A13" s="2" t="s">
        <v>104</v>
      </c>
      <c r="B13" s="2" t="s">
        <v>105</v>
      </c>
      <c r="C13" s="2" t="s">
        <v>49</v>
      </c>
      <c r="D13" s="2" t="s">
        <v>103</v>
      </c>
      <c r="E13" s="4">
        <v>8075000</v>
      </c>
      <c r="F13" s="2" t="s">
        <v>51</v>
      </c>
      <c r="G13" s="2">
        <v>240</v>
      </c>
      <c r="H13" s="6">
        <v>44837</v>
      </c>
      <c r="I13" s="2" t="s">
        <v>60</v>
      </c>
      <c r="J13" s="2" t="s">
        <v>106</v>
      </c>
      <c r="K13" s="2" t="s">
        <v>54</v>
      </c>
      <c r="L13" s="2" t="s">
        <v>55</v>
      </c>
      <c r="M13" s="2"/>
    </row>
    <row r="14" spans="1:13" x14ac:dyDescent="0.25">
      <c r="A14" s="2" t="s">
        <v>107</v>
      </c>
      <c r="B14" s="2" t="s">
        <v>108</v>
      </c>
      <c r="C14" s="2" t="s">
        <v>109</v>
      </c>
      <c r="D14" s="2" t="s">
        <v>82</v>
      </c>
      <c r="E14" s="4">
        <v>1838450</v>
      </c>
      <c r="F14" s="2" t="s">
        <v>93</v>
      </c>
      <c r="G14" s="2">
        <v>240</v>
      </c>
      <c r="H14" s="6">
        <v>43217</v>
      </c>
      <c r="I14" s="2" t="s">
        <v>52</v>
      </c>
      <c r="J14" s="2" t="s">
        <v>88</v>
      </c>
      <c r="K14" s="2" t="s">
        <v>62</v>
      </c>
      <c r="L14" s="2" t="s">
        <v>55</v>
      </c>
      <c r="M14" s="2"/>
    </row>
    <row r="15" spans="1:13" x14ac:dyDescent="0.25">
      <c r="A15" s="2" t="s">
        <v>110</v>
      </c>
      <c r="B15" s="2" t="s">
        <v>111</v>
      </c>
      <c r="C15" s="2" t="s">
        <v>102</v>
      </c>
      <c r="D15" s="2" t="s">
        <v>50</v>
      </c>
      <c r="E15" s="4">
        <v>2760000</v>
      </c>
      <c r="F15" s="2" t="s">
        <v>51</v>
      </c>
      <c r="G15" s="2">
        <v>240</v>
      </c>
      <c r="H15" s="6">
        <v>44470</v>
      </c>
      <c r="I15" s="2" t="s">
        <v>94</v>
      </c>
      <c r="J15" s="2" t="s">
        <v>53</v>
      </c>
      <c r="K15" s="2" t="s">
        <v>69</v>
      </c>
      <c r="L15" s="2" t="s">
        <v>55</v>
      </c>
      <c r="M15" s="2"/>
    </row>
    <row r="16" spans="1:13" x14ac:dyDescent="0.25">
      <c r="A16" s="2" t="s">
        <v>112</v>
      </c>
      <c r="B16" s="2" t="s">
        <v>113</v>
      </c>
      <c r="C16" s="2" t="s">
        <v>81</v>
      </c>
      <c r="D16" s="2" t="s">
        <v>50</v>
      </c>
      <c r="E16" s="4">
        <v>4940000</v>
      </c>
      <c r="F16" s="2" t="s">
        <v>74</v>
      </c>
      <c r="G16" s="2">
        <v>240</v>
      </c>
      <c r="H16" s="6">
        <v>45596</v>
      </c>
      <c r="I16" s="2" t="s">
        <v>83</v>
      </c>
      <c r="J16" s="2" t="s">
        <v>68</v>
      </c>
      <c r="K16" s="2" t="s">
        <v>54</v>
      </c>
      <c r="L16" s="2" t="s">
        <v>55</v>
      </c>
      <c r="M16" s="2"/>
    </row>
    <row r="17" spans="1:13" x14ac:dyDescent="0.25">
      <c r="A17" s="2" t="s">
        <v>114</v>
      </c>
      <c r="B17" s="2" t="s">
        <v>115</v>
      </c>
      <c r="C17" s="2" t="s">
        <v>97</v>
      </c>
      <c r="D17" s="2" t="s">
        <v>59</v>
      </c>
      <c r="E17" s="4">
        <v>4275000</v>
      </c>
      <c r="F17" s="2" t="s">
        <v>74</v>
      </c>
      <c r="G17" s="2">
        <v>240</v>
      </c>
      <c r="H17" s="6">
        <v>44710</v>
      </c>
      <c r="I17" s="2" t="s">
        <v>52</v>
      </c>
      <c r="J17" s="2" t="s">
        <v>88</v>
      </c>
      <c r="K17" s="2" t="s">
        <v>54</v>
      </c>
      <c r="L17" s="2" t="s">
        <v>55</v>
      </c>
      <c r="M17" s="2"/>
    </row>
    <row r="18" spans="1:13" x14ac:dyDescent="0.25">
      <c r="A18" s="2" t="s">
        <v>116</v>
      </c>
      <c r="B18" s="2" t="s">
        <v>117</v>
      </c>
      <c r="C18" s="2" t="s">
        <v>102</v>
      </c>
      <c r="D18" s="2" t="s">
        <v>59</v>
      </c>
      <c r="E18" s="4">
        <v>2415000</v>
      </c>
      <c r="F18" s="2" t="s">
        <v>87</v>
      </c>
      <c r="G18" s="2">
        <v>240</v>
      </c>
      <c r="H18" s="6">
        <v>44747</v>
      </c>
      <c r="I18" s="2" t="s">
        <v>60</v>
      </c>
      <c r="J18" s="2" t="s">
        <v>68</v>
      </c>
      <c r="K18" s="2" t="s">
        <v>69</v>
      </c>
      <c r="L18" s="2" t="s">
        <v>55</v>
      </c>
      <c r="M18" s="2"/>
    </row>
    <row r="19" spans="1:13" x14ac:dyDescent="0.25">
      <c r="A19" s="2" t="s">
        <v>118</v>
      </c>
      <c r="B19" s="2" t="s">
        <v>119</v>
      </c>
      <c r="C19" s="2" t="s">
        <v>109</v>
      </c>
      <c r="D19" s="2" t="s">
        <v>82</v>
      </c>
      <c r="E19" s="4">
        <v>2101086</v>
      </c>
      <c r="F19" s="2" t="s">
        <v>51</v>
      </c>
      <c r="G19" s="2">
        <v>240</v>
      </c>
      <c r="H19" s="6">
        <v>43562</v>
      </c>
      <c r="I19" s="2" t="s">
        <v>60</v>
      </c>
      <c r="J19" s="2" t="s">
        <v>53</v>
      </c>
      <c r="K19" s="2" t="s">
        <v>69</v>
      </c>
      <c r="L19" s="2" t="s">
        <v>55</v>
      </c>
      <c r="M19" s="2"/>
    </row>
    <row r="20" spans="1:13" x14ac:dyDescent="0.25">
      <c r="A20" s="2" t="s">
        <v>120</v>
      </c>
      <c r="B20" s="2" t="s">
        <v>121</v>
      </c>
      <c r="C20" s="2" t="s">
        <v>92</v>
      </c>
      <c r="D20" s="2" t="s">
        <v>66</v>
      </c>
      <c r="E20" s="4">
        <v>3780000</v>
      </c>
      <c r="F20" s="2" t="s">
        <v>51</v>
      </c>
      <c r="G20" s="2">
        <v>240</v>
      </c>
      <c r="H20" s="6">
        <v>46017</v>
      </c>
      <c r="I20" s="2" t="s">
        <v>52</v>
      </c>
      <c r="J20" s="2" t="s">
        <v>68</v>
      </c>
      <c r="K20" s="2" t="s">
        <v>69</v>
      </c>
      <c r="L20" s="2" t="s">
        <v>55</v>
      </c>
      <c r="M20" s="2"/>
    </row>
    <row r="21" spans="1:13" x14ac:dyDescent="0.25">
      <c r="A21" s="2" t="s">
        <v>122</v>
      </c>
      <c r="B21" s="2" t="s">
        <v>123</v>
      </c>
      <c r="C21" s="2" t="s">
        <v>65</v>
      </c>
      <c r="D21" s="2" t="s">
        <v>103</v>
      </c>
      <c r="E21" s="4">
        <v>8580000</v>
      </c>
      <c r="F21" s="2" t="s">
        <v>51</v>
      </c>
      <c r="G21" s="2">
        <v>240</v>
      </c>
      <c r="H21" s="6">
        <v>45861</v>
      </c>
      <c r="I21" s="2" t="s">
        <v>67</v>
      </c>
      <c r="J21" s="2" t="s">
        <v>53</v>
      </c>
      <c r="K21" s="2" t="s">
        <v>54</v>
      </c>
      <c r="L21" s="2" t="s">
        <v>55</v>
      </c>
      <c r="M21" s="2"/>
    </row>
    <row r="22" spans="1:13" x14ac:dyDescent="0.25">
      <c r="A22" s="2" t="s">
        <v>124</v>
      </c>
      <c r="B22" s="2" t="s">
        <v>125</v>
      </c>
      <c r="C22" s="2" t="s">
        <v>97</v>
      </c>
      <c r="D22" s="2" t="s">
        <v>103</v>
      </c>
      <c r="E22" s="4">
        <v>4275000</v>
      </c>
      <c r="F22" s="2" t="s">
        <v>51</v>
      </c>
      <c r="G22" s="2">
        <v>240</v>
      </c>
      <c r="H22" s="6">
        <v>44434</v>
      </c>
      <c r="I22" s="2" t="s">
        <v>52</v>
      </c>
      <c r="J22" s="2" t="s">
        <v>53</v>
      </c>
      <c r="K22" s="2" t="s">
        <v>69</v>
      </c>
      <c r="L22" s="2" t="s">
        <v>55</v>
      </c>
      <c r="M22" s="2"/>
    </row>
    <row r="23" spans="1:13" x14ac:dyDescent="0.25">
      <c r="A23" s="2" t="s">
        <v>126</v>
      </c>
      <c r="B23" s="2" t="s">
        <v>127</v>
      </c>
      <c r="C23" s="2" t="s">
        <v>77</v>
      </c>
      <c r="D23" s="2" t="s">
        <v>82</v>
      </c>
      <c r="E23" s="4">
        <v>4180000</v>
      </c>
      <c r="F23" s="2" t="s">
        <v>87</v>
      </c>
      <c r="G23" s="2">
        <v>240</v>
      </c>
      <c r="H23" s="6">
        <v>44930</v>
      </c>
      <c r="I23" s="2" t="s">
        <v>52</v>
      </c>
      <c r="J23" s="2" t="s">
        <v>61</v>
      </c>
      <c r="K23" s="2" t="s">
        <v>62</v>
      </c>
      <c r="L23" s="2" t="s">
        <v>55</v>
      </c>
      <c r="M23" s="2"/>
    </row>
    <row r="24" spans="1:13" x14ac:dyDescent="0.25">
      <c r="A24" s="2" t="s">
        <v>128</v>
      </c>
      <c r="B24" s="2" t="s">
        <v>129</v>
      </c>
      <c r="C24" s="2" t="s">
        <v>102</v>
      </c>
      <c r="D24" s="2" t="s">
        <v>103</v>
      </c>
      <c r="E24" s="4">
        <v>2530000</v>
      </c>
      <c r="F24" s="2" t="s">
        <v>87</v>
      </c>
      <c r="G24" s="2">
        <v>240</v>
      </c>
      <c r="H24" s="6">
        <v>44028</v>
      </c>
      <c r="I24" s="2" t="s">
        <v>60</v>
      </c>
      <c r="J24" s="2" t="s">
        <v>88</v>
      </c>
      <c r="K24" s="2" t="s">
        <v>89</v>
      </c>
      <c r="L24" s="2" t="s">
        <v>55</v>
      </c>
      <c r="M24" s="2"/>
    </row>
    <row r="25" spans="1:13" x14ac:dyDescent="0.25">
      <c r="A25" s="2" t="s">
        <v>130</v>
      </c>
      <c r="B25" s="2" t="s">
        <v>131</v>
      </c>
      <c r="C25" s="2" t="s">
        <v>102</v>
      </c>
      <c r="D25" s="2" t="s">
        <v>86</v>
      </c>
      <c r="E25" s="4">
        <v>2300000</v>
      </c>
      <c r="F25" s="2" t="s">
        <v>93</v>
      </c>
      <c r="G25" s="2">
        <v>240</v>
      </c>
      <c r="H25" s="6">
        <v>43681</v>
      </c>
      <c r="I25" s="2" t="s">
        <v>52</v>
      </c>
      <c r="J25" s="2" t="s">
        <v>61</v>
      </c>
      <c r="K25" s="2" t="s">
        <v>62</v>
      </c>
      <c r="L25" s="2" t="s">
        <v>55</v>
      </c>
      <c r="M25" s="2"/>
    </row>
    <row r="26" spans="1:13" x14ac:dyDescent="0.25">
      <c r="A26" s="2" t="s">
        <v>132</v>
      </c>
      <c r="B26" s="2" t="s">
        <v>133</v>
      </c>
      <c r="C26" s="2" t="s">
        <v>65</v>
      </c>
      <c r="D26" s="2" t="s">
        <v>66</v>
      </c>
      <c r="E26" s="4">
        <v>7800000</v>
      </c>
      <c r="F26" s="2" t="s">
        <v>51</v>
      </c>
      <c r="G26" s="2">
        <v>240</v>
      </c>
      <c r="H26" s="6">
        <v>45970</v>
      </c>
      <c r="I26" s="2" t="s">
        <v>78</v>
      </c>
      <c r="J26" s="2" t="s">
        <v>106</v>
      </c>
      <c r="K26" s="2" t="s">
        <v>89</v>
      </c>
      <c r="L26" s="2" t="s">
        <v>55</v>
      </c>
      <c r="M26" s="2"/>
    </row>
    <row r="27" spans="1:13" x14ac:dyDescent="0.25">
      <c r="A27" s="2" t="s">
        <v>134</v>
      </c>
      <c r="B27" s="2" t="s">
        <v>135</v>
      </c>
      <c r="C27" s="2" t="s">
        <v>97</v>
      </c>
      <c r="D27" s="2" t="s">
        <v>59</v>
      </c>
      <c r="E27" s="4">
        <v>4950000</v>
      </c>
      <c r="F27" s="2" t="s">
        <v>93</v>
      </c>
      <c r="G27" s="2">
        <v>240</v>
      </c>
      <c r="H27" s="6">
        <v>45944</v>
      </c>
      <c r="I27" s="2" t="s">
        <v>83</v>
      </c>
      <c r="J27" s="2" t="s">
        <v>68</v>
      </c>
      <c r="K27" s="2" t="s">
        <v>89</v>
      </c>
      <c r="L27" s="2" t="s">
        <v>55</v>
      </c>
      <c r="M27" s="2"/>
    </row>
    <row r="28" spans="1:13" x14ac:dyDescent="0.25">
      <c r="A28" s="2" t="s">
        <v>136</v>
      </c>
      <c r="B28" s="2" t="s">
        <v>137</v>
      </c>
      <c r="C28" s="2" t="s">
        <v>109</v>
      </c>
      <c r="D28" s="2" t="s">
        <v>66</v>
      </c>
      <c r="E28" s="4">
        <v>1750905</v>
      </c>
      <c r="F28" s="2" t="s">
        <v>93</v>
      </c>
      <c r="G28" s="2">
        <v>240</v>
      </c>
      <c r="H28" s="6">
        <v>45613</v>
      </c>
      <c r="I28" s="2" t="s">
        <v>60</v>
      </c>
      <c r="J28" s="2" t="s">
        <v>61</v>
      </c>
      <c r="K28" s="2" t="s">
        <v>62</v>
      </c>
      <c r="L28" s="2" t="s">
        <v>55</v>
      </c>
      <c r="M28" s="2"/>
    </row>
    <row r="29" spans="1:13" x14ac:dyDescent="0.25">
      <c r="A29" s="2" t="s">
        <v>138</v>
      </c>
      <c r="B29" s="2" t="s">
        <v>139</v>
      </c>
      <c r="C29" s="2" t="s">
        <v>81</v>
      </c>
      <c r="D29" s="2" t="s">
        <v>82</v>
      </c>
      <c r="E29" s="4">
        <v>5200000</v>
      </c>
      <c r="F29" s="2" t="s">
        <v>74</v>
      </c>
      <c r="G29" s="2">
        <v>240</v>
      </c>
      <c r="H29" s="6">
        <v>45286</v>
      </c>
      <c r="I29" s="2" t="s">
        <v>78</v>
      </c>
      <c r="J29" s="2" t="s">
        <v>61</v>
      </c>
      <c r="K29" s="2" t="s">
        <v>89</v>
      </c>
      <c r="L29" s="2" t="s">
        <v>55</v>
      </c>
      <c r="M29" s="2"/>
    </row>
    <row r="30" spans="1:13" x14ac:dyDescent="0.25">
      <c r="A30" s="2" t="s">
        <v>140</v>
      </c>
      <c r="B30" s="2" t="s">
        <v>141</v>
      </c>
      <c r="C30" s="2" t="s">
        <v>58</v>
      </c>
      <c r="D30" s="2" t="s">
        <v>50</v>
      </c>
      <c r="E30" s="4">
        <v>3360000</v>
      </c>
      <c r="F30" s="2" t="s">
        <v>51</v>
      </c>
      <c r="G30" s="2">
        <v>240</v>
      </c>
      <c r="H30" s="6">
        <v>44006</v>
      </c>
      <c r="I30" s="2" t="s">
        <v>60</v>
      </c>
      <c r="J30" s="2" t="s">
        <v>106</v>
      </c>
      <c r="K30" s="2" t="s">
        <v>69</v>
      </c>
      <c r="L30" s="2" t="s">
        <v>55</v>
      </c>
      <c r="M30" s="2"/>
    </row>
    <row r="31" spans="1:13" x14ac:dyDescent="0.25">
      <c r="A31" s="2" t="s">
        <v>142</v>
      </c>
      <c r="B31" s="2" t="s">
        <v>143</v>
      </c>
      <c r="C31" s="2" t="s">
        <v>102</v>
      </c>
      <c r="D31" s="2" t="s">
        <v>82</v>
      </c>
      <c r="E31" s="4">
        <v>2760000</v>
      </c>
      <c r="F31" s="2" t="s">
        <v>51</v>
      </c>
      <c r="G31" s="2">
        <v>240</v>
      </c>
      <c r="H31" s="6">
        <v>43663</v>
      </c>
      <c r="I31" s="2" t="s">
        <v>60</v>
      </c>
      <c r="J31" s="2" t="s">
        <v>106</v>
      </c>
      <c r="K31" s="2" t="s">
        <v>69</v>
      </c>
      <c r="L31" s="2" t="s">
        <v>55</v>
      </c>
      <c r="M31" s="2"/>
    </row>
    <row r="32" spans="1:13" x14ac:dyDescent="0.25">
      <c r="A32" t="s">
        <v>144</v>
      </c>
      <c r="B32" t="s">
        <v>145</v>
      </c>
      <c r="C32" t="s">
        <v>109</v>
      </c>
      <c r="D32" t="s">
        <v>59</v>
      </c>
      <c r="E32">
        <v>1750905</v>
      </c>
      <c r="F32" t="s">
        <v>74</v>
      </c>
      <c r="G32">
        <v>240</v>
      </c>
      <c r="H32" s="12">
        <v>46168</v>
      </c>
      <c r="I32" t="s">
        <v>67</v>
      </c>
      <c r="J32" t="s">
        <v>68</v>
      </c>
      <c r="K32" t="s">
        <v>62</v>
      </c>
      <c r="L32" t="s">
        <v>55</v>
      </c>
      <c r="M32" t="s">
        <v>146</v>
      </c>
    </row>
    <row r="33" spans="1:13" x14ac:dyDescent="0.25">
      <c r="A33" t="s">
        <v>147</v>
      </c>
      <c r="B33" t="s">
        <v>148</v>
      </c>
      <c r="C33" t="s">
        <v>109</v>
      </c>
      <c r="D33" t="s">
        <v>59</v>
      </c>
      <c r="E33">
        <v>1750905</v>
      </c>
      <c r="F33" t="s">
        <v>74</v>
      </c>
      <c r="G33">
        <v>240</v>
      </c>
      <c r="H33" s="12">
        <v>46168</v>
      </c>
      <c r="I33" t="s">
        <v>78</v>
      </c>
      <c r="J33" t="s">
        <v>53</v>
      </c>
      <c r="K33" t="s">
        <v>62</v>
      </c>
      <c r="L33" t="s">
        <v>55</v>
      </c>
      <c r="M33" t="s">
        <v>146</v>
      </c>
    </row>
    <row r="34" spans="1:13" x14ac:dyDescent="0.25">
      <c r="A34" t="s">
        <v>149</v>
      </c>
      <c r="B34" t="s">
        <v>150</v>
      </c>
      <c r="C34" t="s">
        <v>109</v>
      </c>
      <c r="D34" t="s">
        <v>86</v>
      </c>
      <c r="E34">
        <v>1750905</v>
      </c>
      <c r="F34" t="s">
        <v>74</v>
      </c>
      <c r="G34">
        <v>240</v>
      </c>
      <c r="H34" s="12">
        <v>46168</v>
      </c>
      <c r="I34" t="s">
        <v>78</v>
      </c>
      <c r="J34" t="s">
        <v>53</v>
      </c>
      <c r="K34" t="s">
        <v>62</v>
      </c>
      <c r="L34" t="s">
        <v>55</v>
      </c>
      <c r="M34" t="s">
        <v>146</v>
      </c>
    </row>
    <row r="35" spans="1:13" x14ac:dyDescent="0.25">
      <c r="A35" t="s">
        <v>151</v>
      </c>
      <c r="B35" t="s">
        <v>152</v>
      </c>
      <c r="C35" t="s">
        <v>109</v>
      </c>
      <c r="D35" t="s">
        <v>50</v>
      </c>
      <c r="E35">
        <v>1750905</v>
      </c>
      <c r="F35" t="s">
        <v>74</v>
      </c>
      <c r="G35">
        <v>240</v>
      </c>
      <c r="H35" s="12">
        <v>46168</v>
      </c>
      <c r="I35" t="s">
        <v>94</v>
      </c>
      <c r="J35" t="s">
        <v>88</v>
      </c>
      <c r="K35" t="s">
        <v>62</v>
      </c>
      <c r="L35" t="s">
        <v>55</v>
      </c>
      <c r="M35" t="s">
        <v>146</v>
      </c>
    </row>
    <row r="36" spans="1:13" x14ac:dyDescent="0.25">
      <c r="A36" t="s">
        <v>153</v>
      </c>
      <c r="B36" t="s">
        <v>154</v>
      </c>
      <c r="C36" t="s">
        <v>109</v>
      </c>
      <c r="D36" t="s">
        <v>59</v>
      </c>
      <c r="E36">
        <v>1750905</v>
      </c>
      <c r="F36" t="s">
        <v>74</v>
      </c>
      <c r="G36">
        <v>240</v>
      </c>
      <c r="H36" s="12">
        <v>46168</v>
      </c>
      <c r="I36" t="s">
        <v>52</v>
      </c>
      <c r="J36" t="s">
        <v>53</v>
      </c>
      <c r="K36" t="s">
        <v>62</v>
      </c>
      <c r="L36" t="s">
        <v>55</v>
      </c>
      <c r="M36" t="s">
        <v>146</v>
      </c>
    </row>
    <row r="37" spans="1:13" x14ac:dyDescent="0.25">
      <c r="H37" s="12"/>
    </row>
    <row r="38" spans="1:13" x14ac:dyDescent="0.25">
      <c r="H38" s="12"/>
    </row>
    <row r="39" spans="1:13" x14ac:dyDescent="0.25">
      <c r="H39" s="12"/>
    </row>
    <row r="40" spans="1:13" x14ac:dyDescent="0.25">
      <c r="H40" s="12"/>
    </row>
    <row r="41" spans="1:13" x14ac:dyDescent="0.25">
      <c r="H41" s="12"/>
    </row>
  </sheetData>
  <conditionalFormatting sqref="M2:M505">
    <cfRule type="expression" dxfId="3" priority="2">
      <formula>LEN($M2)&gt;0</formula>
    </cfRule>
  </conditionalFormatting>
  <dataValidations count="4">
    <dataValidation type="list" sqref="F2:F505" xr:uid="{00000000-0002-0000-0100-000000000000}">
      <formula1>"Indefinido,Fijo,Obra labor,Aprendizaje"</formula1>
    </dataValidation>
    <dataValidation type="list" sqref="I2:I505" xr:uid="{00000000-0002-0000-0100-000001000000}">
      <formula1>"Sura,Sanitas,Compensar,Nueva EPS,Famisanar,Salud Total"</formula1>
    </dataValidation>
    <dataValidation type="list" sqref="J2:J505" xr:uid="{00000000-0002-0000-0100-000002000000}">
      <formula1>"Porvenir,Proteccion,Colfondos,Skandia,Colpensiones"</formula1>
    </dataValidation>
    <dataValidation type="list" sqref="L2:L505" xr:uid="{00000000-0002-0000-0100-000003000000}">
      <formula1>"Si,No"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6"/>
  <sheetViews>
    <sheetView showGridLines="0" workbookViewId="0">
      <pane ySplit="1" topLeftCell="A14" activePane="bottomLeft" state="frozen"/>
      <selection pane="bottomLeft" activeCell="K45" sqref="K45"/>
    </sheetView>
  </sheetViews>
  <sheetFormatPr baseColWidth="10" defaultColWidth="9.140625" defaultRowHeight="15" x14ac:dyDescent="0.25"/>
  <cols>
    <col min="1" max="1" width="12" customWidth="1"/>
    <col min="2" max="2" width="13" customWidth="1"/>
    <col min="3" max="3" width="16" customWidth="1"/>
    <col min="4" max="4" width="18" customWidth="1"/>
    <col min="5" max="5" width="20" customWidth="1"/>
    <col min="6" max="7" width="22" customWidth="1"/>
    <col min="8" max="8" width="17" customWidth="1"/>
    <col min="9" max="9" width="15" customWidth="1"/>
    <col min="10" max="10" width="19" customWidth="1"/>
    <col min="11" max="11" width="34" customWidth="1"/>
  </cols>
  <sheetData>
    <row r="1" spans="1:11" ht="30" customHeight="1" x14ac:dyDescent="0.25">
      <c r="A1" s="1" t="s">
        <v>34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</row>
    <row r="2" spans="1:11" x14ac:dyDescent="0.25">
      <c r="A2" s="2" t="s">
        <v>165</v>
      </c>
      <c r="B2" s="2" t="s">
        <v>47</v>
      </c>
      <c r="C2" s="2">
        <v>224</v>
      </c>
      <c r="D2" s="2">
        <v>8</v>
      </c>
      <c r="E2" s="2">
        <v>4</v>
      </c>
      <c r="F2" s="2">
        <v>5</v>
      </c>
      <c r="G2" s="2">
        <v>8</v>
      </c>
      <c r="H2" s="2">
        <v>2</v>
      </c>
      <c r="I2" s="4">
        <v>300000</v>
      </c>
      <c r="J2" s="4">
        <v>0</v>
      </c>
      <c r="K2" s="2"/>
    </row>
    <row r="3" spans="1:11" x14ac:dyDescent="0.25">
      <c r="A3" s="2" t="s">
        <v>166</v>
      </c>
      <c r="B3" s="2" t="s">
        <v>56</v>
      </c>
      <c r="C3" s="2">
        <v>224</v>
      </c>
      <c r="D3" s="2">
        <v>8</v>
      </c>
      <c r="E3" s="2">
        <v>4</v>
      </c>
      <c r="F3" s="2">
        <v>0</v>
      </c>
      <c r="G3" s="2">
        <v>8</v>
      </c>
      <c r="H3" s="2">
        <v>0</v>
      </c>
      <c r="I3" s="4">
        <v>150000</v>
      </c>
      <c r="J3" s="4">
        <v>250000</v>
      </c>
      <c r="K3" s="2"/>
    </row>
    <row r="4" spans="1:11" x14ac:dyDescent="0.25">
      <c r="A4" s="2" t="s">
        <v>167</v>
      </c>
      <c r="B4" s="2" t="s">
        <v>63</v>
      </c>
      <c r="C4" s="2">
        <v>232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4">
        <v>0</v>
      </c>
      <c r="J4" s="4">
        <v>0</v>
      </c>
      <c r="K4" s="2"/>
    </row>
    <row r="5" spans="1:11" x14ac:dyDescent="0.25">
      <c r="A5" s="2" t="s">
        <v>168</v>
      </c>
      <c r="B5" s="2" t="s">
        <v>71</v>
      </c>
      <c r="C5" s="2">
        <v>224</v>
      </c>
      <c r="D5" s="2">
        <v>2</v>
      </c>
      <c r="E5" s="2">
        <v>4</v>
      </c>
      <c r="F5" s="2">
        <v>8</v>
      </c>
      <c r="G5" s="2">
        <v>0</v>
      </c>
      <c r="H5" s="2">
        <v>0</v>
      </c>
      <c r="I5" s="4">
        <v>0</v>
      </c>
      <c r="J5" s="4">
        <v>0</v>
      </c>
      <c r="K5" s="2"/>
    </row>
    <row r="6" spans="1:11" x14ac:dyDescent="0.25">
      <c r="A6" s="2" t="s">
        <v>169</v>
      </c>
      <c r="B6" s="2" t="s">
        <v>75</v>
      </c>
      <c r="C6" s="2">
        <v>240</v>
      </c>
      <c r="D6" s="2">
        <v>8</v>
      </c>
      <c r="E6" s="2">
        <v>2</v>
      </c>
      <c r="F6" s="2">
        <v>5</v>
      </c>
      <c r="G6" s="2">
        <v>8</v>
      </c>
      <c r="H6" s="2">
        <v>0</v>
      </c>
      <c r="I6" s="4">
        <v>0</v>
      </c>
      <c r="J6" s="4">
        <v>0</v>
      </c>
      <c r="K6" s="2"/>
    </row>
    <row r="7" spans="1:11" x14ac:dyDescent="0.25">
      <c r="A7" s="2" t="s">
        <v>170</v>
      </c>
      <c r="B7" s="2" t="s">
        <v>79</v>
      </c>
      <c r="C7" s="2">
        <v>240</v>
      </c>
      <c r="D7" s="2">
        <v>4</v>
      </c>
      <c r="E7" s="2">
        <v>2</v>
      </c>
      <c r="F7" s="2">
        <v>0</v>
      </c>
      <c r="G7" s="2">
        <v>0</v>
      </c>
      <c r="H7" s="2">
        <v>2</v>
      </c>
      <c r="I7" s="4">
        <v>150000</v>
      </c>
      <c r="J7" s="4">
        <v>0</v>
      </c>
      <c r="K7" s="2"/>
    </row>
    <row r="8" spans="1:11" x14ac:dyDescent="0.25">
      <c r="A8" s="2" t="s">
        <v>171</v>
      </c>
      <c r="B8" s="2" t="s">
        <v>84</v>
      </c>
      <c r="C8" s="2">
        <v>224</v>
      </c>
      <c r="D8" s="2">
        <v>6</v>
      </c>
      <c r="E8" s="2">
        <v>1</v>
      </c>
      <c r="F8" s="2">
        <v>0</v>
      </c>
      <c r="G8" s="2">
        <v>0</v>
      </c>
      <c r="H8" s="2">
        <v>0</v>
      </c>
      <c r="I8" s="4">
        <v>500000</v>
      </c>
      <c r="J8" s="4">
        <v>0</v>
      </c>
      <c r="K8" s="2"/>
    </row>
    <row r="9" spans="1:11" x14ac:dyDescent="0.25">
      <c r="A9" s="2" t="s">
        <v>172</v>
      </c>
      <c r="B9" s="2" t="s">
        <v>90</v>
      </c>
      <c r="C9" s="2">
        <v>240</v>
      </c>
      <c r="D9" s="2">
        <v>0</v>
      </c>
      <c r="E9" s="2">
        <v>0</v>
      </c>
      <c r="F9" s="2">
        <v>10</v>
      </c>
      <c r="G9" s="2">
        <v>0</v>
      </c>
      <c r="H9" s="2">
        <v>0</v>
      </c>
      <c r="I9" s="4">
        <v>0</v>
      </c>
      <c r="J9" s="4">
        <v>0</v>
      </c>
      <c r="K9" s="2"/>
    </row>
    <row r="10" spans="1:11" x14ac:dyDescent="0.25">
      <c r="A10" s="2" t="s">
        <v>173</v>
      </c>
      <c r="B10" s="2" t="s">
        <v>95</v>
      </c>
      <c r="C10" s="2">
        <v>240</v>
      </c>
      <c r="D10" s="2">
        <v>0</v>
      </c>
      <c r="E10" s="2">
        <v>4</v>
      </c>
      <c r="F10" s="2">
        <v>0</v>
      </c>
      <c r="G10" s="2">
        <v>0</v>
      </c>
      <c r="H10" s="2">
        <v>0</v>
      </c>
      <c r="I10" s="4">
        <v>0</v>
      </c>
      <c r="J10" s="4">
        <v>0</v>
      </c>
      <c r="K10" s="2"/>
    </row>
    <row r="11" spans="1:11" x14ac:dyDescent="0.25">
      <c r="A11" s="2" t="s">
        <v>174</v>
      </c>
      <c r="B11" s="2" t="s">
        <v>98</v>
      </c>
      <c r="C11" s="2">
        <v>240</v>
      </c>
      <c r="D11" s="2">
        <v>2</v>
      </c>
      <c r="E11" s="2">
        <v>2</v>
      </c>
      <c r="F11" s="2">
        <v>5</v>
      </c>
      <c r="G11" s="2">
        <v>0</v>
      </c>
      <c r="H11" s="2">
        <v>0</v>
      </c>
      <c r="I11" s="4">
        <v>500000</v>
      </c>
      <c r="J11" s="4">
        <v>100000</v>
      </c>
      <c r="K11" s="2"/>
    </row>
    <row r="12" spans="1:11" x14ac:dyDescent="0.25">
      <c r="A12" s="2" t="s">
        <v>175</v>
      </c>
      <c r="B12" s="2" t="s">
        <v>100</v>
      </c>
      <c r="C12" s="2">
        <v>240</v>
      </c>
      <c r="D12" s="2">
        <v>0</v>
      </c>
      <c r="E12" s="2">
        <v>0</v>
      </c>
      <c r="F12" s="2">
        <v>0</v>
      </c>
      <c r="G12" s="2">
        <v>8</v>
      </c>
      <c r="H12" s="2">
        <v>2</v>
      </c>
      <c r="I12" s="4">
        <v>500000</v>
      </c>
      <c r="J12" s="4">
        <v>0</v>
      </c>
      <c r="K12" s="2"/>
    </row>
    <row r="13" spans="1:11" x14ac:dyDescent="0.25">
      <c r="A13" s="2" t="s">
        <v>176</v>
      </c>
      <c r="B13" s="2" t="s">
        <v>104</v>
      </c>
      <c r="C13" s="2">
        <v>240</v>
      </c>
      <c r="D13" s="2">
        <v>2</v>
      </c>
      <c r="E13" s="2">
        <v>4</v>
      </c>
      <c r="F13" s="2">
        <v>5</v>
      </c>
      <c r="G13" s="2">
        <v>8</v>
      </c>
      <c r="H13" s="2">
        <v>2</v>
      </c>
      <c r="I13" s="4">
        <v>0</v>
      </c>
      <c r="J13" s="4">
        <v>0</v>
      </c>
      <c r="K13" s="2"/>
    </row>
    <row r="14" spans="1:11" x14ac:dyDescent="0.25">
      <c r="A14" s="2" t="s">
        <v>177</v>
      </c>
      <c r="B14" s="2" t="s">
        <v>107</v>
      </c>
      <c r="C14" s="2">
        <v>232</v>
      </c>
      <c r="D14" s="2">
        <v>6</v>
      </c>
      <c r="E14" s="2">
        <v>1</v>
      </c>
      <c r="F14" s="2">
        <v>10</v>
      </c>
      <c r="G14" s="2">
        <v>0</v>
      </c>
      <c r="H14" s="2">
        <v>0</v>
      </c>
      <c r="I14" s="4">
        <v>0</v>
      </c>
      <c r="J14" s="4">
        <v>250000</v>
      </c>
      <c r="K14" s="2"/>
    </row>
    <row r="15" spans="1:11" x14ac:dyDescent="0.25">
      <c r="A15" s="2" t="s">
        <v>178</v>
      </c>
      <c r="B15" s="2" t="s">
        <v>110</v>
      </c>
      <c r="C15" s="2">
        <v>240</v>
      </c>
      <c r="D15" s="2">
        <v>2</v>
      </c>
      <c r="E15" s="2">
        <v>4</v>
      </c>
      <c r="F15" s="2">
        <v>10</v>
      </c>
      <c r="G15" s="2">
        <v>0</v>
      </c>
      <c r="H15" s="2">
        <v>0</v>
      </c>
      <c r="I15" s="4">
        <v>0</v>
      </c>
      <c r="J15" s="4">
        <v>0</v>
      </c>
      <c r="K15" s="2"/>
    </row>
    <row r="16" spans="1:11" x14ac:dyDescent="0.25">
      <c r="A16" s="2" t="s">
        <v>179</v>
      </c>
      <c r="B16" s="2" t="s">
        <v>112</v>
      </c>
      <c r="C16" s="2">
        <v>240</v>
      </c>
      <c r="D16" s="2">
        <v>6</v>
      </c>
      <c r="E16" s="2">
        <v>0</v>
      </c>
      <c r="F16" s="2">
        <v>10</v>
      </c>
      <c r="G16" s="2">
        <v>0</v>
      </c>
      <c r="H16" s="2">
        <v>2</v>
      </c>
      <c r="I16" s="4">
        <v>0</v>
      </c>
      <c r="J16" s="4">
        <v>250000</v>
      </c>
      <c r="K16" s="2"/>
    </row>
    <row r="17" spans="1:11" x14ac:dyDescent="0.25">
      <c r="A17" s="2" t="s">
        <v>180</v>
      </c>
      <c r="B17" s="2" t="s">
        <v>114</v>
      </c>
      <c r="C17" s="2">
        <v>232</v>
      </c>
      <c r="D17" s="2">
        <v>0</v>
      </c>
      <c r="E17" s="2">
        <v>0</v>
      </c>
      <c r="F17" s="2">
        <v>8</v>
      </c>
      <c r="G17" s="2">
        <v>0</v>
      </c>
      <c r="H17" s="2">
        <v>1</v>
      </c>
      <c r="I17" s="4">
        <v>500000</v>
      </c>
      <c r="J17" s="4">
        <v>0</v>
      </c>
      <c r="K17" s="2"/>
    </row>
    <row r="18" spans="1:11" x14ac:dyDescent="0.25">
      <c r="A18" s="2" t="s">
        <v>181</v>
      </c>
      <c r="B18" s="2" t="s">
        <v>116</v>
      </c>
      <c r="C18" s="2">
        <v>224</v>
      </c>
      <c r="D18" s="2">
        <v>8</v>
      </c>
      <c r="E18" s="2">
        <v>1</v>
      </c>
      <c r="F18" s="2">
        <v>0</v>
      </c>
      <c r="G18" s="2">
        <v>0</v>
      </c>
      <c r="H18" s="2">
        <v>0</v>
      </c>
      <c r="I18" s="4">
        <v>0</v>
      </c>
      <c r="J18" s="4">
        <v>0</v>
      </c>
      <c r="K18" s="2"/>
    </row>
    <row r="19" spans="1:11" x14ac:dyDescent="0.25">
      <c r="A19" s="2" t="s">
        <v>182</v>
      </c>
      <c r="B19" s="2" t="s">
        <v>118</v>
      </c>
      <c r="C19" s="2">
        <v>240</v>
      </c>
      <c r="D19" s="2">
        <v>8</v>
      </c>
      <c r="E19" s="2">
        <v>0</v>
      </c>
      <c r="F19" s="2">
        <v>0</v>
      </c>
      <c r="G19" s="2">
        <v>0</v>
      </c>
      <c r="H19" s="2">
        <v>0</v>
      </c>
      <c r="I19" s="4">
        <v>300000</v>
      </c>
      <c r="J19" s="4">
        <v>250000</v>
      </c>
      <c r="K19" s="2"/>
    </row>
    <row r="20" spans="1:11" x14ac:dyDescent="0.25">
      <c r="A20" s="2" t="s">
        <v>183</v>
      </c>
      <c r="B20" s="2" t="s">
        <v>120</v>
      </c>
      <c r="C20" s="2">
        <v>240</v>
      </c>
      <c r="D20" s="2">
        <v>8</v>
      </c>
      <c r="E20" s="2">
        <v>0</v>
      </c>
      <c r="F20" s="2">
        <v>0</v>
      </c>
      <c r="G20" s="2">
        <v>0</v>
      </c>
      <c r="H20" s="2">
        <v>0</v>
      </c>
      <c r="I20" s="4">
        <v>0</v>
      </c>
      <c r="J20" s="4">
        <v>0</v>
      </c>
      <c r="K20" s="2"/>
    </row>
    <row r="21" spans="1:11" x14ac:dyDescent="0.25">
      <c r="A21" s="2" t="s">
        <v>184</v>
      </c>
      <c r="B21" s="2" t="s">
        <v>122</v>
      </c>
      <c r="C21" s="2">
        <v>240</v>
      </c>
      <c r="D21" s="2">
        <v>0</v>
      </c>
      <c r="E21" s="2">
        <v>1</v>
      </c>
      <c r="F21" s="2">
        <v>0</v>
      </c>
      <c r="G21" s="2">
        <v>0</v>
      </c>
      <c r="H21" s="2">
        <v>0</v>
      </c>
      <c r="I21" s="4">
        <v>150000</v>
      </c>
      <c r="J21" s="4">
        <v>0</v>
      </c>
      <c r="K21" s="2"/>
    </row>
    <row r="22" spans="1:11" x14ac:dyDescent="0.25">
      <c r="A22" s="2" t="s">
        <v>185</v>
      </c>
      <c r="B22" s="2" t="s">
        <v>124</v>
      </c>
      <c r="C22" s="2">
        <v>240</v>
      </c>
      <c r="D22" s="2">
        <v>0</v>
      </c>
      <c r="E22" s="2">
        <v>4</v>
      </c>
      <c r="F22" s="2">
        <v>10</v>
      </c>
      <c r="G22" s="2">
        <v>0</v>
      </c>
      <c r="H22" s="2">
        <v>0</v>
      </c>
      <c r="I22" s="4">
        <v>300000</v>
      </c>
      <c r="J22" s="4">
        <v>250000</v>
      </c>
      <c r="K22" s="2"/>
    </row>
    <row r="23" spans="1:11" x14ac:dyDescent="0.25">
      <c r="A23" s="2" t="s">
        <v>186</v>
      </c>
      <c r="B23" s="2" t="s">
        <v>126</v>
      </c>
      <c r="C23" s="2">
        <v>224</v>
      </c>
      <c r="D23" s="2">
        <v>4</v>
      </c>
      <c r="E23" s="2">
        <v>0</v>
      </c>
      <c r="F23" s="2">
        <v>10</v>
      </c>
      <c r="G23" s="2">
        <v>0</v>
      </c>
      <c r="H23" s="2">
        <v>0</v>
      </c>
      <c r="I23" s="4">
        <v>500000</v>
      </c>
      <c r="J23" s="4">
        <v>100000</v>
      </c>
      <c r="K23" s="2"/>
    </row>
    <row r="24" spans="1:11" x14ac:dyDescent="0.25">
      <c r="A24" s="2" t="s">
        <v>187</v>
      </c>
      <c r="B24" s="2" t="s">
        <v>128</v>
      </c>
      <c r="C24" s="2">
        <v>240</v>
      </c>
      <c r="D24" s="2">
        <v>4</v>
      </c>
      <c r="E24" s="2">
        <v>1</v>
      </c>
      <c r="F24" s="2">
        <v>10</v>
      </c>
      <c r="G24" s="2">
        <v>0</v>
      </c>
      <c r="H24" s="2">
        <v>2</v>
      </c>
      <c r="I24" s="4">
        <v>0</v>
      </c>
      <c r="J24" s="4">
        <v>0</v>
      </c>
      <c r="K24" s="2"/>
    </row>
    <row r="25" spans="1:11" x14ac:dyDescent="0.25">
      <c r="A25" s="2" t="s">
        <v>188</v>
      </c>
      <c r="B25" s="2" t="s">
        <v>130</v>
      </c>
      <c r="C25" s="2">
        <v>224</v>
      </c>
      <c r="D25" s="2">
        <v>8</v>
      </c>
      <c r="E25" s="2">
        <v>0</v>
      </c>
      <c r="F25" s="2">
        <v>0</v>
      </c>
      <c r="G25" s="2">
        <v>0</v>
      </c>
      <c r="H25" s="2">
        <v>1</v>
      </c>
      <c r="I25" s="4">
        <v>0</v>
      </c>
      <c r="J25" s="4">
        <v>0</v>
      </c>
      <c r="K25" s="2"/>
    </row>
    <row r="26" spans="1:11" x14ac:dyDescent="0.25">
      <c r="A26" s="2" t="s">
        <v>189</v>
      </c>
      <c r="B26" s="2" t="s">
        <v>132</v>
      </c>
      <c r="C26" s="2">
        <v>240</v>
      </c>
      <c r="D26" s="2">
        <v>4</v>
      </c>
      <c r="E26" s="2">
        <v>2</v>
      </c>
      <c r="F26" s="2">
        <v>10</v>
      </c>
      <c r="G26" s="2">
        <v>0</v>
      </c>
      <c r="H26" s="2">
        <v>0</v>
      </c>
      <c r="I26" s="4">
        <v>0</v>
      </c>
      <c r="J26" s="4">
        <v>0</v>
      </c>
      <c r="K26" s="2"/>
    </row>
    <row r="27" spans="1:11" x14ac:dyDescent="0.25">
      <c r="A27" s="2" t="s">
        <v>190</v>
      </c>
      <c r="B27" s="2" t="s">
        <v>134</v>
      </c>
      <c r="C27" s="2">
        <v>224</v>
      </c>
      <c r="D27" s="2">
        <v>2</v>
      </c>
      <c r="E27" s="2">
        <v>2</v>
      </c>
      <c r="F27" s="2">
        <v>8</v>
      </c>
      <c r="G27" s="2">
        <v>0</v>
      </c>
      <c r="H27" s="2">
        <v>0</v>
      </c>
      <c r="I27" s="4">
        <v>0</v>
      </c>
      <c r="J27" s="4">
        <v>100000</v>
      </c>
      <c r="K27" s="2"/>
    </row>
    <row r="28" spans="1:11" x14ac:dyDescent="0.25">
      <c r="A28" s="2" t="s">
        <v>191</v>
      </c>
      <c r="B28" s="2" t="s">
        <v>136</v>
      </c>
      <c r="C28" s="2">
        <v>240</v>
      </c>
      <c r="D28" s="2">
        <v>0</v>
      </c>
      <c r="E28" s="2">
        <v>4</v>
      </c>
      <c r="F28" s="2">
        <v>0</v>
      </c>
      <c r="G28" s="2">
        <v>0</v>
      </c>
      <c r="H28" s="2">
        <v>2</v>
      </c>
      <c r="I28" s="4">
        <v>0</v>
      </c>
      <c r="J28" s="4">
        <v>250000</v>
      </c>
      <c r="K28" s="2"/>
    </row>
    <row r="29" spans="1:11" x14ac:dyDescent="0.25">
      <c r="A29" s="2" t="s">
        <v>192</v>
      </c>
      <c r="B29" s="2" t="s">
        <v>138</v>
      </c>
      <c r="C29" s="2">
        <v>240</v>
      </c>
      <c r="D29" s="2">
        <v>6</v>
      </c>
      <c r="E29" s="2">
        <v>0</v>
      </c>
      <c r="F29" s="2">
        <v>5</v>
      </c>
      <c r="G29" s="2">
        <v>0</v>
      </c>
      <c r="H29" s="2">
        <v>2</v>
      </c>
      <c r="I29" s="4">
        <v>500000</v>
      </c>
      <c r="J29" s="4">
        <v>0</v>
      </c>
      <c r="K29" s="2"/>
    </row>
    <row r="30" spans="1:11" x14ac:dyDescent="0.25">
      <c r="A30" s="2" t="s">
        <v>193</v>
      </c>
      <c r="B30" s="2" t="s">
        <v>140</v>
      </c>
      <c r="C30" s="2">
        <v>240</v>
      </c>
      <c r="D30" s="2">
        <v>4</v>
      </c>
      <c r="E30" s="2">
        <v>0</v>
      </c>
      <c r="F30" s="2">
        <v>10</v>
      </c>
      <c r="G30" s="2">
        <v>0</v>
      </c>
      <c r="H30" s="2">
        <v>1</v>
      </c>
      <c r="I30" s="4">
        <v>500000</v>
      </c>
      <c r="J30" s="4">
        <v>250000</v>
      </c>
      <c r="K30" s="2"/>
    </row>
    <row r="31" spans="1:11" x14ac:dyDescent="0.25">
      <c r="A31" s="2" t="s">
        <v>194</v>
      </c>
      <c r="B31" s="2" t="s">
        <v>142</v>
      </c>
      <c r="C31" s="2">
        <v>232</v>
      </c>
      <c r="D31" s="2">
        <v>6</v>
      </c>
      <c r="E31" s="2">
        <v>0</v>
      </c>
      <c r="F31" s="2">
        <v>10</v>
      </c>
      <c r="G31" s="2">
        <v>8</v>
      </c>
      <c r="H31" s="2">
        <v>0</v>
      </c>
      <c r="I31" s="4">
        <v>150000</v>
      </c>
      <c r="J31" s="4">
        <v>0</v>
      </c>
      <c r="K31" s="2"/>
    </row>
    <row r="32" spans="1:11" x14ac:dyDescent="0.25">
      <c r="A32" t="s">
        <v>195</v>
      </c>
      <c r="B32" t="s">
        <v>144</v>
      </c>
      <c r="C32">
        <v>240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146</v>
      </c>
    </row>
    <row r="33" spans="1:11" x14ac:dyDescent="0.25">
      <c r="A33" t="s">
        <v>196</v>
      </c>
      <c r="B33" t="s">
        <v>147</v>
      </c>
      <c r="C33">
        <v>240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146</v>
      </c>
    </row>
    <row r="34" spans="1:11" x14ac:dyDescent="0.25">
      <c r="A34" t="s">
        <v>197</v>
      </c>
      <c r="B34" t="s">
        <v>149</v>
      </c>
      <c r="C34">
        <v>240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146</v>
      </c>
    </row>
    <row r="35" spans="1:11" x14ac:dyDescent="0.25">
      <c r="A35" t="s">
        <v>198</v>
      </c>
      <c r="B35" t="s">
        <v>151</v>
      </c>
      <c r="C35">
        <v>240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146</v>
      </c>
    </row>
    <row r="36" spans="1:11" x14ac:dyDescent="0.25">
      <c r="A36" t="s">
        <v>199</v>
      </c>
      <c r="B36" t="s">
        <v>153</v>
      </c>
      <c r="C36">
        <v>240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146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31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24" customWidth="1"/>
    <col min="3" max="3" width="26" customWidth="1"/>
    <col min="4" max="18" width="16" customWidth="1"/>
    <col min="19" max="19" width="24" customWidth="1"/>
  </cols>
  <sheetData>
    <row r="1" spans="1:19" ht="30" customHeight="1" x14ac:dyDescent="0.25">
      <c r="A1" s="1" t="s">
        <v>155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200</v>
      </c>
      <c r="G1" s="1" t="s">
        <v>201</v>
      </c>
      <c r="H1" s="1" t="s">
        <v>11</v>
      </c>
      <c r="I1" s="1" t="s">
        <v>202</v>
      </c>
      <c r="J1" s="1" t="s">
        <v>162</v>
      </c>
      <c r="K1" s="1" t="s">
        <v>203</v>
      </c>
      <c r="L1" s="1" t="s">
        <v>204</v>
      </c>
      <c r="M1" s="1" t="s">
        <v>43</v>
      </c>
      <c r="N1" s="1" t="s">
        <v>205</v>
      </c>
      <c r="O1" s="1" t="s">
        <v>163</v>
      </c>
      <c r="P1" s="1" t="s">
        <v>206</v>
      </c>
      <c r="Q1" s="1" t="s">
        <v>207</v>
      </c>
      <c r="R1" s="1" t="s">
        <v>208</v>
      </c>
      <c r="S1" s="1" t="s">
        <v>209</v>
      </c>
    </row>
    <row r="2" spans="1:19" x14ac:dyDescent="0.25">
      <c r="A2" s="2" t="str">
        <f>Empleados!A2</f>
        <v>EMP-0001</v>
      </c>
      <c r="B2" s="2" t="str">
        <f>Empleados!B2</f>
        <v>Paula Torres</v>
      </c>
      <c r="C2" s="2" t="str">
        <f>Empleados!C2</f>
        <v>Desarrollador Senior</v>
      </c>
      <c r="D2" s="2" t="str">
        <f>Empleados!D2</f>
        <v>Finanzas</v>
      </c>
      <c r="E2" s="4">
        <f>Empleados!E2</f>
        <v>1750905</v>
      </c>
      <c r="F2" s="4">
        <f>E2/Parametros!$B$8</f>
        <v>7295.4375</v>
      </c>
      <c r="G2" s="4">
        <f>ROUND(E2/Parametros!$B$8*Novedades_Horas!C2,0)</f>
        <v>1634178</v>
      </c>
      <c r="H2" s="4">
        <f>IF(AND(E2&lt;=Parametros!$B$7,Empleados!L2="Si"),Parametros!$B$6,0)</f>
        <v>249095</v>
      </c>
      <c r="I2" s="4">
        <f>ROUND(F2*(Novedades_Horas!D2*Parametros!$B$12+Novedades_Horas!E2*Parametros!$B$13+Novedades_Horas!F2*Parametros!$B$14+Novedades_Horas!G2*Parametros!$B$15),0)</f>
        <v>238926</v>
      </c>
      <c r="J2" s="4">
        <f>Novedades_Horas!I2</f>
        <v>300000</v>
      </c>
      <c r="K2" s="4">
        <f t="shared" ref="K2:K31" si="0">SUM(G2:J2)</f>
        <v>2422199</v>
      </c>
      <c r="L2" s="4">
        <f>ROUND((G2+I2+J2)*Parametros!$B$9,0)</f>
        <v>86924</v>
      </c>
      <c r="M2" s="4">
        <f>ROUND((G2+I2+J2)*Parametros!$B$10,0)</f>
        <v>86924</v>
      </c>
      <c r="N2" s="4">
        <f t="shared" ref="N2:N31" si="1">IF(K2&gt;6000000,ROUND((K2-6000000)*0.1,0),0)</f>
        <v>0</v>
      </c>
      <c r="O2" s="4">
        <f>Novedades_Horas!J2</f>
        <v>0</v>
      </c>
      <c r="P2" s="4">
        <f t="shared" ref="P2:P31" si="2">SUM(L2:O2)</f>
        <v>173848</v>
      </c>
      <c r="Q2" s="4">
        <f t="shared" ref="Q2:Q31" si="3">K2-P2</f>
        <v>2248351</v>
      </c>
      <c r="R2" s="4">
        <f t="shared" ref="R2:R31" si="4">ROUND(K2+(G2+I2+J2)*0.205,0)</f>
        <v>2867685</v>
      </c>
      <c r="S2" s="2" t="str">
        <f>IF(Q2&lt;0,"ERROR: Neto negativo",IF(E2&lt;Parametros!$B$5,"ERROR: Salario bajo",IF(E2&gt;Parametros!$B$11,"REVISAR: salario alto","OK")))</f>
        <v>OK</v>
      </c>
    </row>
    <row r="3" spans="1:19" x14ac:dyDescent="0.25">
      <c r="A3" s="2" t="str">
        <f>Empleados!A3</f>
        <v>EMP-0002</v>
      </c>
      <c r="B3" s="2" t="str">
        <f>Empleados!B3</f>
        <v>Sofia Rodriguez</v>
      </c>
      <c r="C3" s="2" t="str">
        <f>Empleados!C3</f>
        <v>Analista de Nomina</v>
      </c>
      <c r="D3" s="2" t="str">
        <f>Empleados!D3</f>
        <v>Operaciones</v>
      </c>
      <c r="E3" s="4">
        <f>Empleados!E3</f>
        <v>1750905</v>
      </c>
      <c r="F3" s="4">
        <f>E3/Parametros!$B$8</f>
        <v>7295.4375</v>
      </c>
      <c r="G3" s="4">
        <f>ROUND(E3/Parametros!$B$8*Novedades_Horas!C3,0)</f>
        <v>1634178</v>
      </c>
      <c r="H3" s="4">
        <f>IF(AND(E3&lt;=Parametros!$B$7,Empleados!L3="Si"),Parametros!$B$6,0)</f>
        <v>249095</v>
      </c>
      <c r="I3" s="4">
        <f>ROUND(F3*(Novedades_Horas!D3*Parametros!$B$12+Novedades_Horas!E3*Parametros!$B$13+Novedades_Horas!F3*Parametros!$B$14+Novedades_Horas!G3*Parametros!$B$15),0)</f>
        <v>226159</v>
      </c>
      <c r="J3" s="4">
        <f>Novedades_Horas!I3</f>
        <v>150000</v>
      </c>
      <c r="K3" s="4">
        <f t="shared" si="0"/>
        <v>2259432</v>
      </c>
      <c r="L3" s="4">
        <f>ROUND((G3+I3+J3)*Parametros!$B$9,0)</f>
        <v>80413</v>
      </c>
      <c r="M3" s="4">
        <f>ROUND((G3+I3+J3)*Parametros!$B$10,0)</f>
        <v>80413</v>
      </c>
      <c r="N3" s="4">
        <f t="shared" si="1"/>
        <v>0</v>
      </c>
      <c r="O3" s="4">
        <f>Novedades_Horas!J3</f>
        <v>250000</v>
      </c>
      <c r="P3" s="4">
        <f t="shared" si="2"/>
        <v>410826</v>
      </c>
      <c r="Q3" s="4">
        <f t="shared" si="3"/>
        <v>1848606</v>
      </c>
      <c r="R3" s="4">
        <f t="shared" si="4"/>
        <v>2671551</v>
      </c>
      <c r="S3" s="2" t="str">
        <f>IF(Q3&lt;0,"ERROR: Neto negativo",IF(E3&lt;Parametros!$B$5,"ERROR: Salario bajo",IF(E3&gt;Parametros!$B$11,"REVISAR: salario alto","OK")))</f>
        <v>OK</v>
      </c>
    </row>
    <row r="4" spans="1:19" x14ac:dyDescent="0.25">
      <c r="A4" s="2" t="str">
        <f>Empleados!A4</f>
        <v>EMP-0003</v>
      </c>
      <c r="B4" s="2" t="str">
        <f>Empleados!B4</f>
        <v>Jorge Garcia</v>
      </c>
      <c r="C4" s="2" t="str">
        <f>Empleados!C4</f>
        <v>Jefe de Talento Humano</v>
      </c>
      <c r="D4" s="2" t="str">
        <f>Empleados!D4</f>
        <v>Comercial</v>
      </c>
      <c r="E4" s="4">
        <f>Empleados!E4</f>
        <v>2500000</v>
      </c>
      <c r="F4" s="4">
        <f>E4/Parametros!$B$8</f>
        <v>10416.666666666666</v>
      </c>
      <c r="G4" s="4">
        <f>ROUND(E4/Parametros!$B$8*Novedades_Horas!C4,0)</f>
        <v>2416667</v>
      </c>
      <c r="H4" s="4">
        <f>IF(AND(E4&lt;=Parametros!$B$7,Empleados!L4="Si"),Parametros!$B$6,0)</f>
        <v>249095</v>
      </c>
      <c r="I4" s="4">
        <f>ROUND(F4*(Novedades_Horas!D4*Parametros!$B$12+Novedades_Horas!E4*Parametros!$B$13+Novedades_Horas!F4*Parametros!$B$14+Novedades_Horas!G4*Parametros!$B$15),0)</f>
        <v>0</v>
      </c>
      <c r="J4" s="4">
        <f>Novedades_Horas!I4</f>
        <v>0</v>
      </c>
      <c r="K4" s="4">
        <f t="shared" si="0"/>
        <v>2665762</v>
      </c>
      <c r="L4" s="4">
        <f>ROUND((G4+I4+J4)*Parametros!$B$9,0)</f>
        <v>96667</v>
      </c>
      <c r="M4" s="4">
        <f>ROUND((G4+I4+J4)*Parametros!$B$10,0)</f>
        <v>96667</v>
      </c>
      <c r="N4" s="4">
        <f t="shared" si="1"/>
        <v>0</v>
      </c>
      <c r="O4" s="4">
        <f>Novedades_Horas!J4</f>
        <v>0</v>
      </c>
      <c r="P4" s="4">
        <f t="shared" si="2"/>
        <v>193334</v>
      </c>
      <c r="Q4" s="4">
        <f t="shared" si="3"/>
        <v>2472428</v>
      </c>
      <c r="R4" s="4">
        <f t="shared" si="4"/>
        <v>3161179</v>
      </c>
      <c r="S4" s="2" t="str">
        <f>IF(Q4&lt;0,"ERROR: Neto negativo",IF(E4&lt;Parametros!$B$5,"ERROR: Salario bajo",IF(E4&gt;Parametros!$B$11,"REVISAR: salario alto","OK")))</f>
        <v>OK</v>
      </c>
    </row>
    <row r="5" spans="1:19" x14ac:dyDescent="0.25">
      <c r="A5" s="2" t="str">
        <f>Empleados!A5</f>
        <v>EMP-0004</v>
      </c>
      <c r="B5" s="2" t="str">
        <f>Empleados!B5</f>
        <v>Ana Jimenez</v>
      </c>
      <c r="C5" s="2" t="str">
        <f>Empleados!C5</f>
        <v>Asistente Administrativo</v>
      </c>
      <c r="D5" s="2" t="str">
        <f>Empleados!D5</f>
        <v>Finanzas</v>
      </c>
      <c r="E5" s="4">
        <f>Empleados!E5</f>
        <v>1750905</v>
      </c>
      <c r="F5" s="4">
        <f>E5/Parametros!$B$8</f>
        <v>7295.4375</v>
      </c>
      <c r="G5" s="4">
        <f>ROUND(E5/Parametros!$B$8*Novedades_Horas!C5,0)</f>
        <v>1634178</v>
      </c>
      <c r="H5" s="4">
        <f>IF(AND(E5&lt;=Parametros!$B$7,Empleados!L5="Si"),Parametros!$B$6,0)</f>
        <v>249095</v>
      </c>
      <c r="I5" s="4">
        <f>ROUND(F5*(Novedades_Horas!D5*Parametros!$B$12+Novedades_Horas!E5*Parametros!$B$13+Novedades_Horas!F5*Parametros!$B$14+Novedades_Horas!G5*Parametros!$B$15),0)</f>
        <v>89734</v>
      </c>
      <c r="J5" s="4">
        <f>Novedades_Horas!I5</f>
        <v>0</v>
      </c>
      <c r="K5" s="4">
        <f t="shared" si="0"/>
        <v>1973007</v>
      </c>
      <c r="L5" s="4">
        <f>ROUND((G5+I5+J5)*Parametros!$B$9,0)</f>
        <v>68956</v>
      </c>
      <c r="M5" s="4">
        <f>ROUND((G5+I5+J5)*Parametros!$B$10,0)</f>
        <v>68956</v>
      </c>
      <c r="N5" s="4">
        <f t="shared" si="1"/>
        <v>0</v>
      </c>
      <c r="O5" s="4">
        <f>Novedades_Horas!J5</f>
        <v>0</v>
      </c>
      <c r="P5" s="4">
        <f t="shared" si="2"/>
        <v>137912</v>
      </c>
      <c r="Q5" s="4">
        <f t="shared" si="3"/>
        <v>1835095</v>
      </c>
      <c r="R5" s="4">
        <f t="shared" si="4"/>
        <v>2326409</v>
      </c>
      <c r="S5" s="2" t="str">
        <f>IF(Q5&lt;0,"ERROR: Neto negativo",IF(E5&lt;Parametros!$B$5,"ERROR: Salario bajo",IF(E5&gt;Parametros!$B$11,"REVISAR: salario alto","OK")))</f>
        <v>OK</v>
      </c>
    </row>
    <row r="6" spans="1:19" x14ac:dyDescent="0.25">
      <c r="A6" s="2" t="str">
        <f>Empleados!A6</f>
        <v>EMP-0005</v>
      </c>
      <c r="B6" s="2" t="str">
        <f>Empleados!B6</f>
        <v>David Moreno</v>
      </c>
      <c r="C6" s="2" t="str">
        <f>Empleados!C6</f>
        <v>Desarrollador Junior</v>
      </c>
      <c r="D6" s="2" t="str">
        <f>Empleados!D6</f>
        <v>Operaciones</v>
      </c>
      <c r="E6" s="4">
        <f>Empleados!E6</f>
        <v>1750905</v>
      </c>
      <c r="F6" s="4">
        <f>E6/Parametros!$B$8</f>
        <v>7295.4375</v>
      </c>
      <c r="G6" s="4">
        <f>ROUND(E6/Parametros!$B$8*Novedades_Horas!C6,0)</f>
        <v>1750905</v>
      </c>
      <c r="H6" s="4">
        <f>IF(AND(E6&lt;=Parametros!$B$7,Empleados!L6="Si"),Parametros!$B$6,0)</f>
        <v>249095</v>
      </c>
      <c r="I6" s="4">
        <f>ROUND(F6*(Novedades_Horas!D6*Parametros!$B$12+Novedades_Horas!E6*Parametros!$B$13+Novedades_Horas!F6*Parametros!$B$14+Novedades_Horas!G6*Parametros!$B$15),0)</f>
        <v>213392</v>
      </c>
      <c r="J6" s="4">
        <f>Novedades_Horas!I6</f>
        <v>0</v>
      </c>
      <c r="K6" s="4">
        <f t="shared" si="0"/>
        <v>2213392</v>
      </c>
      <c r="L6" s="4">
        <f>ROUND((G6+I6+J6)*Parametros!$B$9,0)</f>
        <v>78572</v>
      </c>
      <c r="M6" s="4">
        <f>ROUND((G6+I6+J6)*Parametros!$B$10,0)</f>
        <v>78572</v>
      </c>
      <c r="N6" s="4">
        <f t="shared" si="1"/>
        <v>0</v>
      </c>
      <c r="O6" s="4">
        <f>Novedades_Horas!J6</f>
        <v>0</v>
      </c>
      <c r="P6" s="4">
        <f t="shared" si="2"/>
        <v>157144</v>
      </c>
      <c r="Q6" s="4">
        <f t="shared" si="3"/>
        <v>2056248</v>
      </c>
      <c r="R6" s="4">
        <f t="shared" si="4"/>
        <v>2616073</v>
      </c>
      <c r="S6" s="2" t="str">
        <f>IF(Q6&lt;0,"ERROR: Neto negativo",IF(E6&lt;Parametros!$B$5,"ERROR: Salario bajo",IF(E6&gt;Parametros!$B$11,"REVISAR: salario alto","OK")))</f>
        <v>OK</v>
      </c>
    </row>
    <row r="7" spans="1:19" x14ac:dyDescent="0.25">
      <c r="A7" s="2" t="str">
        <f>Empleados!A7</f>
        <v>EMP-0006</v>
      </c>
      <c r="B7" s="2" t="str">
        <f>Empleados!B7</f>
        <v>Juan Sanchez</v>
      </c>
      <c r="C7" s="2" t="str">
        <f>Empleados!C7</f>
        <v>Contador</v>
      </c>
      <c r="D7" s="2" t="str">
        <f>Empleados!D7</f>
        <v>Tecnologia</v>
      </c>
      <c r="E7" s="4">
        <f>Empleados!E7</f>
        <v>4940000</v>
      </c>
      <c r="F7" s="4">
        <f>E7/Parametros!$B$8</f>
        <v>20583.333333333332</v>
      </c>
      <c r="G7" s="4">
        <f>ROUND(E7/Parametros!$B$8*Novedades_Horas!C7,0)</f>
        <v>4940000</v>
      </c>
      <c r="H7" s="4">
        <f>IF(AND(E7&lt;=Parametros!$B$7,Empleados!L7="Si"),Parametros!$B$6,0)</f>
        <v>0</v>
      </c>
      <c r="I7" s="4">
        <f>ROUND(F7*(Novedades_Horas!D7*Parametros!$B$12+Novedades_Horas!E7*Parametros!$B$13+Novedades_Horas!F7*Parametros!$B$14+Novedades_Horas!G7*Parametros!$B$15),0)</f>
        <v>174958</v>
      </c>
      <c r="J7" s="4">
        <f>Novedades_Horas!I7</f>
        <v>150000</v>
      </c>
      <c r="K7" s="4">
        <f t="shared" si="0"/>
        <v>5264958</v>
      </c>
      <c r="L7" s="4">
        <f>ROUND((G7+I7+J7)*Parametros!$B$9,0)</f>
        <v>210598</v>
      </c>
      <c r="M7" s="4">
        <f>ROUND((G7+I7+J7)*Parametros!$B$10,0)</f>
        <v>210598</v>
      </c>
      <c r="N7" s="4">
        <f t="shared" si="1"/>
        <v>0</v>
      </c>
      <c r="O7" s="4">
        <f>Novedades_Horas!J7</f>
        <v>0</v>
      </c>
      <c r="P7" s="4">
        <f t="shared" si="2"/>
        <v>421196</v>
      </c>
      <c r="Q7" s="4">
        <f t="shared" si="3"/>
        <v>4843762</v>
      </c>
      <c r="R7" s="4">
        <f t="shared" si="4"/>
        <v>6344274</v>
      </c>
      <c r="S7" s="2" t="str">
        <f>IF(Q7&lt;0,"ERROR: Neto negativo",IF(E7&lt;Parametros!$B$5,"ERROR: Salario bajo",IF(E7&gt;Parametros!$B$11,"REVISAR: salario alto","OK")))</f>
        <v>OK</v>
      </c>
    </row>
    <row r="8" spans="1:19" x14ac:dyDescent="0.25">
      <c r="A8" s="2" t="str">
        <f>Empleados!A8</f>
        <v>EMP-0007</v>
      </c>
      <c r="B8" s="2" t="str">
        <f>Empleados!B8</f>
        <v>Nicolas Diaz</v>
      </c>
      <c r="C8" s="2" t="str">
        <f>Empleados!C8</f>
        <v>Contador</v>
      </c>
      <c r="D8" s="2" t="str">
        <f>Empleados!D8</f>
        <v>Administracion</v>
      </c>
      <c r="E8" s="4">
        <f>Empleados!E8</f>
        <v>5720000</v>
      </c>
      <c r="F8" s="4">
        <f>E8/Parametros!$B$8</f>
        <v>23833.333333333332</v>
      </c>
      <c r="G8" s="4">
        <f>ROUND(E8/Parametros!$B$8*Novedades_Horas!C8,0)</f>
        <v>5338667</v>
      </c>
      <c r="H8" s="4">
        <f>IF(AND(E8&lt;=Parametros!$B$7,Empleados!L8="Si"),Parametros!$B$6,0)</f>
        <v>0</v>
      </c>
      <c r="I8" s="4">
        <f>ROUND(F8*(Novedades_Horas!D8*Parametros!$B$12+Novedades_Horas!E8*Parametros!$B$13+Novedades_Horas!F8*Parametros!$B$14+Novedades_Horas!G8*Parametros!$B$15),0)</f>
        <v>220458</v>
      </c>
      <c r="J8" s="4">
        <f>Novedades_Horas!I8</f>
        <v>500000</v>
      </c>
      <c r="K8" s="4">
        <f t="shared" si="0"/>
        <v>6059125</v>
      </c>
      <c r="L8" s="4">
        <f>ROUND((G8+I8+J8)*Parametros!$B$9,0)</f>
        <v>242365</v>
      </c>
      <c r="M8" s="4">
        <f>ROUND((G8+I8+J8)*Parametros!$B$10,0)</f>
        <v>242365</v>
      </c>
      <c r="N8" s="4">
        <f t="shared" si="1"/>
        <v>5913</v>
      </c>
      <c r="O8" s="4">
        <f>Novedades_Horas!J8</f>
        <v>0</v>
      </c>
      <c r="P8" s="4">
        <f t="shared" si="2"/>
        <v>490643</v>
      </c>
      <c r="Q8" s="4">
        <f t="shared" si="3"/>
        <v>5568482</v>
      </c>
      <c r="R8" s="4">
        <f t="shared" si="4"/>
        <v>7301246</v>
      </c>
      <c r="S8" s="2" t="str">
        <f>IF(Q8&lt;0,"ERROR: Neto negativo",IF(E8&lt;Parametros!$B$5,"ERROR: Salario bajo",IF(E8&gt;Parametros!$B$11,"REVISAR: salario alto","OK")))</f>
        <v>OK</v>
      </c>
    </row>
    <row r="9" spans="1:19" x14ac:dyDescent="0.25">
      <c r="A9" s="2" t="str">
        <f>Empleados!A9</f>
        <v>EMP-0008</v>
      </c>
      <c r="B9" s="2" t="str">
        <f>Empleados!B9</f>
        <v>Diego Castro</v>
      </c>
      <c r="C9" s="2" t="str">
        <f>Empleados!C9</f>
        <v>Supervisor de Planta</v>
      </c>
      <c r="D9" s="2" t="str">
        <f>Empleados!D9</f>
        <v>Tecnologia</v>
      </c>
      <c r="E9" s="4">
        <f>Empleados!E9</f>
        <v>3600000</v>
      </c>
      <c r="F9" s="4">
        <f>E9/Parametros!$B$8</f>
        <v>15000</v>
      </c>
      <c r="G9" s="4">
        <f>ROUND(E9/Parametros!$B$8*Novedades_Horas!C9,0)</f>
        <v>3600000</v>
      </c>
      <c r="H9" s="4">
        <f>IF(AND(E9&lt;=Parametros!$B$7,Empleados!L9="Si"),Parametros!$B$6,0)</f>
        <v>0</v>
      </c>
      <c r="I9" s="4">
        <f>ROUND(F9*(Novedades_Horas!D9*Parametros!$B$12+Novedades_Horas!E9*Parametros!$B$13+Novedades_Horas!F9*Parametros!$B$14+Novedades_Horas!G9*Parametros!$B$15),0)</f>
        <v>52500</v>
      </c>
      <c r="J9" s="4">
        <f>Novedades_Horas!I9</f>
        <v>0</v>
      </c>
      <c r="K9" s="4">
        <f t="shared" si="0"/>
        <v>3652500</v>
      </c>
      <c r="L9" s="4">
        <f>ROUND((G9+I9+J9)*Parametros!$B$9,0)</f>
        <v>146100</v>
      </c>
      <c r="M9" s="4">
        <f>ROUND((G9+I9+J9)*Parametros!$B$10,0)</f>
        <v>146100</v>
      </c>
      <c r="N9" s="4">
        <f t="shared" si="1"/>
        <v>0</v>
      </c>
      <c r="O9" s="4">
        <f>Novedades_Horas!J9</f>
        <v>0</v>
      </c>
      <c r="P9" s="4">
        <f t="shared" si="2"/>
        <v>292200</v>
      </c>
      <c r="Q9" s="4">
        <f t="shared" si="3"/>
        <v>3360300</v>
      </c>
      <c r="R9" s="4">
        <f t="shared" si="4"/>
        <v>4401263</v>
      </c>
      <c r="S9" s="2" t="str">
        <f>IF(Q9&lt;0,"ERROR: Neto negativo",IF(E9&lt;Parametros!$B$5,"ERROR: Salario bajo",IF(E9&gt;Parametros!$B$11,"REVISAR: salario alto","OK")))</f>
        <v>OK</v>
      </c>
    </row>
    <row r="10" spans="1:19" x14ac:dyDescent="0.25">
      <c r="A10" s="2" t="str">
        <f>Empleados!A10</f>
        <v>EMP-0009</v>
      </c>
      <c r="B10" s="2" t="str">
        <f>Empleados!B10</f>
        <v>Isabella Diaz</v>
      </c>
      <c r="C10" s="2" t="str">
        <f>Empleados!C10</f>
        <v>Coordinador Comercial</v>
      </c>
      <c r="D10" s="2" t="str">
        <f>Empleados!D10</f>
        <v>Comercial</v>
      </c>
      <c r="E10" s="4">
        <f>Empleados!E10</f>
        <v>5400000</v>
      </c>
      <c r="F10" s="4">
        <f>E10/Parametros!$B$8</f>
        <v>22500</v>
      </c>
      <c r="G10" s="4">
        <f>ROUND(E10/Parametros!$B$8*Novedades_Horas!C10,0)</f>
        <v>5400000</v>
      </c>
      <c r="H10" s="4">
        <f>IF(AND(E10&lt;=Parametros!$B$7,Empleados!L10="Si"),Parametros!$B$6,0)</f>
        <v>0</v>
      </c>
      <c r="I10" s="4">
        <f>ROUND(F10*(Novedades_Horas!D10*Parametros!$B$12+Novedades_Horas!E10*Parametros!$B$13+Novedades_Horas!F10*Parametros!$B$14+Novedades_Horas!G10*Parametros!$B$15),0)</f>
        <v>157500</v>
      </c>
      <c r="J10" s="4">
        <f>Novedades_Horas!I10</f>
        <v>0</v>
      </c>
      <c r="K10" s="4">
        <f t="shared" si="0"/>
        <v>5557500</v>
      </c>
      <c r="L10" s="4">
        <f>ROUND((G10+I10+J10)*Parametros!$B$9,0)</f>
        <v>222300</v>
      </c>
      <c r="M10" s="4">
        <f>ROUND((G10+I10+J10)*Parametros!$B$10,0)</f>
        <v>222300</v>
      </c>
      <c r="N10" s="4">
        <f t="shared" si="1"/>
        <v>0</v>
      </c>
      <c r="O10" s="4">
        <f>Novedades_Horas!J10</f>
        <v>0</v>
      </c>
      <c r="P10" s="4">
        <f t="shared" si="2"/>
        <v>444600</v>
      </c>
      <c r="Q10" s="4">
        <f t="shared" si="3"/>
        <v>5112900</v>
      </c>
      <c r="R10" s="4">
        <f t="shared" si="4"/>
        <v>6696788</v>
      </c>
      <c r="S10" s="2" t="str">
        <f>IF(Q10&lt;0,"ERROR: Neto negativo",IF(E10&lt;Parametros!$B$5,"ERROR: Salario bajo",IF(E10&gt;Parametros!$B$11,"REVISAR: salario alto","OK")))</f>
        <v>OK</v>
      </c>
    </row>
    <row r="11" spans="1:19" x14ac:dyDescent="0.25">
      <c r="A11" s="2" t="str">
        <f>Empleados!A11</f>
        <v>EMP-0010</v>
      </c>
      <c r="B11" s="2" t="str">
        <f>Empleados!B11</f>
        <v>Miguel Torres</v>
      </c>
      <c r="C11" s="2" t="str">
        <f>Empleados!C11</f>
        <v>Desarrollador Junior</v>
      </c>
      <c r="D11" s="2" t="str">
        <f>Empleados!D11</f>
        <v>Operaciones</v>
      </c>
      <c r="E11" s="4">
        <f>Empleados!E11</f>
        <v>3800000</v>
      </c>
      <c r="F11" s="4">
        <f>E11/Parametros!$B$8</f>
        <v>15833.333333333334</v>
      </c>
      <c r="G11" s="4">
        <f>ROUND(E11/Parametros!$B$8*Novedades_Horas!C11,0)</f>
        <v>3800000</v>
      </c>
      <c r="H11" s="4">
        <f>IF(AND(E11&lt;=Parametros!$B$7,Empleados!L11="Si"),Parametros!$B$6,0)</f>
        <v>0</v>
      </c>
      <c r="I11" s="4">
        <f>ROUND(F11*(Novedades_Horas!D11*Parametros!$B$12+Novedades_Horas!E11*Parametros!$B$13+Novedades_Horas!F11*Parametros!$B$14+Novedades_Horas!G11*Parametros!$B$15),0)</f>
        <v>122708</v>
      </c>
      <c r="J11" s="4">
        <f>Novedades_Horas!I11</f>
        <v>500000</v>
      </c>
      <c r="K11" s="4">
        <f t="shared" si="0"/>
        <v>4422708</v>
      </c>
      <c r="L11" s="4">
        <f>ROUND((G11+I11+J11)*Parametros!$B$9,0)</f>
        <v>176908</v>
      </c>
      <c r="M11" s="4">
        <f>ROUND((G11+I11+J11)*Parametros!$B$10,0)</f>
        <v>176908</v>
      </c>
      <c r="N11" s="4">
        <f t="shared" si="1"/>
        <v>0</v>
      </c>
      <c r="O11" s="4">
        <f>Novedades_Horas!J11</f>
        <v>100000</v>
      </c>
      <c r="P11" s="4">
        <f t="shared" si="2"/>
        <v>453816</v>
      </c>
      <c r="Q11" s="4">
        <f t="shared" si="3"/>
        <v>3968892</v>
      </c>
      <c r="R11" s="4">
        <f t="shared" si="4"/>
        <v>5329363</v>
      </c>
      <c r="S11" s="2" t="str">
        <f>IF(Q11&lt;0,"ERROR: Neto negativo",IF(E11&lt;Parametros!$B$5,"ERROR: Salario bajo",IF(E11&gt;Parametros!$B$11,"REVISAR: salario alto","OK")))</f>
        <v>OK</v>
      </c>
    </row>
    <row r="12" spans="1:19" x14ac:dyDescent="0.25">
      <c r="A12" s="2" t="str">
        <f>Empleados!A12</f>
        <v>EMP-0011</v>
      </c>
      <c r="B12" s="2" t="str">
        <f>Empleados!B12</f>
        <v>Sebastian Diaz</v>
      </c>
      <c r="C12" s="2" t="str">
        <f>Empleados!C12</f>
        <v>Vendedor</v>
      </c>
      <c r="D12" s="2" t="str">
        <f>Empleados!D12</f>
        <v>Talento Humano</v>
      </c>
      <c r="E12" s="4">
        <f>Empleados!E12</f>
        <v>2185000</v>
      </c>
      <c r="F12" s="4">
        <f>E12/Parametros!$B$8</f>
        <v>9104.1666666666661</v>
      </c>
      <c r="G12" s="4">
        <f>ROUND(E12/Parametros!$B$8*Novedades_Horas!C12,0)</f>
        <v>2185000</v>
      </c>
      <c r="H12" s="4">
        <f>IF(AND(E12&lt;=Parametros!$B$7,Empleados!L12="Si"),Parametros!$B$6,0)</f>
        <v>249095</v>
      </c>
      <c r="I12" s="4">
        <f>ROUND(F12*(Novedades_Horas!D12*Parametros!$B$12+Novedades_Horas!E12*Parametros!$B$13+Novedades_Horas!F12*Parametros!$B$14+Novedades_Horas!G12*Parametros!$B$15),0)</f>
        <v>127458</v>
      </c>
      <c r="J12" s="4">
        <f>Novedades_Horas!I12</f>
        <v>500000</v>
      </c>
      <c r="K12" s="4">
        <f t="shared" si="0"/>
        <v>3061553</v>
      </c>
      <c r="L12" s="4">
        <f>ROUND((G12+I12+J12)*Parametros!$B$9,0)</f>
        <v>112498</v>
      </c>
      <c r="M12" s="4">
        <f>ROUND((G12+I12+J12)*Parametros!$B$10,0)</f>
        <v>112498</v>
      </c>
      <c r="N12" s="4">
        <f t="shared" si="1"/>
        <v>0</v>
      </c>
      <c r="O12" s="4">
        <f>Novedades_Horas!J12</f>
        <v>0</v>
      </c>
      <c r="P12" s="4">
        <f t="shared" si="2"/>
        <v>224996</v>
      </c>
      <c r="Q12" s="4">
        <f t="shared" si="3"/>
        <v>2836557</v>
      </c>
      <c r="R12" s="4">
        <f t="shared" si="4"/>
        <v>3638107</v>
      </c>
      <c r="S12" s="2" t="str">
        <f>IF(Q12&lt;0,"ERROR: Neto negativo",IF(E12&lt;Parametros!$B$5,"ERROR: Salario bajo",IF(E12&gt;Parametros!$B$11,"REVISAR: salario alto","OK")))</f>
        <v>OK</v>
      </c>
    </row>
    <row r="13" spans="1:19" x14ac:dyDescent="0.25">
      <c r="A13" s="2" t="str">
        <f>Empleados!A13</f>
        <v>EMP-0012</v>
      </c>
      <c r="B13" s="2" t="str">
        <f>Empleados!B13</f>
        <v>Paula Martinez</v>
      </c>
      <c r="C13" s="2" t="str">
        <f>Empleados!C13</f>
        <v>Desarrollador Senior</v>
      </c>
      <c r="D13" s="2" t="str">
        <f>Empleados!D13</f>
        <v>Talento Humano</v>
      </c>
      <c r="E13" s="4">
        <f>Empleados!E13</f>
        <v>8075000</v>
      </c>
      <c r="F13" s="4">
        <f>E13/Parametros!$B$8</f>
        <v>33645.833333333336</v>
      </c>
      <c r="G13" s="4">
        <f>ROUND(E13/Parametros!$B$8*Novedades_Horas!C13,0)</f>
        <v>8075000</v>
      </c>
      <c r="H13" s="4">
        <f>IF(AND(E13&lt;=Parametros!$B$7,Empleados!L13="Si"),Parametros!$B$6,0)</f>
        <v>0</v>
      </c>
      <c r="I13" s="4">
        <f>ROUND(F13*(Novedades_Horas!D13*Parametros!$B$12+Novedades_Horas!E13*Parametros!$B$13+Novedades_Horas!F13*Parametros!$B$14+Novedades_Horas!G13*Parametros!$B$15),0)</f>
        <v>849557</v>
      </c>
      <c r="J13" s="4">
        <f>Novedades_Horas!I13</f>
        <v>0</v>
      </c>
      <c r="K13" s="4">
        <f t="shared" si="0"/>
        <v>8924557</v>
      </c>
      <c r="L13" s="4">
        <f>ROUND((G13+I13+J13)*Parametros!$B$9,0)</f>
        <v>356982</v>
      </c>
      <c r="M13" s="4">
        <f>ROUND((G13+I13+J13)*Parametros!$B$10,0)</f>
        <v>356982</v>
      </c>
      <c r="N13" s="4">
        <f t="shared" si="1"/>
        <v>292456</v>
      </c>
      <c r="O13" s="4">
        <f>Novedades_Horas!J13</f>
        <v>0</v>
      </c>
      <c r="P13" s="4">
        <f t="shared" si="2"/>
        <v>1006420</v>
      </c>
      <c r="Q13" s="4">
        <f t="shared" si="3"/>
        <v>7918137</v>
      </c>
      <c r="R13" s="4">
        <f t="shared" si="4"/>
        <v>10754091</v>
      </c>
      <c r="S13" s="2" t="str">
        <f>IF(Q13&lt;0,"ERROR: Neto negativo",IF(E13&lt;Parametros!$B$5,"ERROR: Salario bajo",IF(E13&gt;Parametros!$B$11,"REVISAR: salario alto","OK")))</f>
        <v>OK</v>
      </c>
    </row>
    <row r="14" spans="1:19" x14ac:dyDescent="0.25">
      <c r="A14" s="2" t="str">
        <f>Empleados!A14</f>
        <v>EMP-0013</v>
      </c>
      <c r="B14" s="2" t="str">
        <f>Empleados!B14</f>
        <v>Diego Moreno</v>
      </c>
      <c r="C14" s="2" t="str">
        <f>Empleados!C14</f>
        <v>Auxiliar Operativo</v>
      </c>
      <c r="D14" s="2" t="str">
        <f>Empleados!D14</f>
        <v>Tecnologia</v>
      </c>
      <c r="E14" s="4">
        <f>Empleados!E14</f>
        <v>1838450</v>
      </c>
      <c r="F14" s="4">
        <f>E14/Parametros!$B$8</f>
        <v>7660.208333333333</v>
      </c>
      <c r="G14" s="4">
        <f>ROUND(E14/Parametros!$B$8*Novedades_Horas!C14,0)</f>
        <v>1777168</v>
      </c>
      <c r="H14" s="4">
        <f>IF(AND(E14&lt;=Parametros!$B$7,Empleados!L14="Si"),Parametros!$B$6,0)</f>
        <v>249095</v>
      </c>
      <c r="I14" s="4">
        <f>ROUND(F14*(Novedades_Horas!D14*Parametros!$B$12+Novedades_Horas!E14*Parametros!$B$13+Novedades_Horas!F14*Parametros!$B$14+Novedades_Horas!G14*Parametros!$B$15),0)</f>
        <v>97668</v>
      </c>
      <c r="J14" s="4">
        <f>Novedades_Horas!I14</f>
        <v>0</v>
      </c>
      <c r="K14" s="4">
        <f t="shared" si="0"/>
        <v>2123931</v>
      </c>
      <c r="L14" s="4">
        <f>ROUND((G14+I14+J14)*Parametros!$B$9,0)</f>
        <v>74993</v>
      </c>
      <c r="M14" s="4">
        <f>ROUND((G14+I14+J14)*Parametros!$B$10,0)</f>
        <v>74993</v>
      </c>
      <c r="N14" s="4">
        <f t="shared" si="1"/>
        <v>0</v>
      </c>
      <c r="O14" s="4">
        <f>Novedades_Horas!J14</f>
        <v>250000</v>
      </c>
      <c r="P14" s="4">
        <f t="shared" si="2"/>
        <v>399986</v>
      </c>
      <c r="Q14" s="4">
        <f t="shared" si="3"/>
        <v>1723945</v>
      </c>
      <c r="R14" s="4">
        <f t="shared" si="4"/>
        <v>2508272</v>
      </c>
      <c r="S14" s="2" t="str">
        <f>IF(Q14&lt;0,"ERROR: Neto negativo",IF(E14&lt;Parametros!$B$5,"ERROR: Salario bajo",IF(E14&gt;Parametros!$B$11,"REVISAR: salario alto","OK")))</f>
        <v>OK</v>
      </c>
    </row>
    <row r="15" spans="1:19" x14ac:dyDescent="0.25">
      <c r="A15" s="2" t="str">
        <f>Empleados!A15</f>
        <v>EMP-0014</v>
      </c>
      <c r="B15" s="2" t="str">
        <f>Empleados!B15</f>
        <v>Manuela Torres</v>
      </c>
      <c r="C15" s="2" t="str">
        <f>Empleados!C15</f>
        <v>Vendedor</v>
      </c>
      <c r="D15" s="2" t="str">
        <f>Empleados!D15</f>
        <v>Finanzas</v>
      </c>
      <c r="E15" s="4">
        <f>Empleados!E15</f>
        <v>2760000</v>
      </c>
      <c r="F15" s="4">
        <f>E15/Parametros!$B$8</f>
        <v>11500</v>
      </c>
      <c r="G15" s="4">
        <f>ROUND(E15/Parametros!$B$8*Novedades_Horas!C15,0)</f>
        <v>2760000</v>
      </c>
      <c r="H15" s="4">
        <f>IF(AND(E15&lt;=Parametros!$B$7,Empleados!L15="Si"),Parametros!$B$6,0)</f>
        <v>249095</v>
      </c>
      <c r="I15" s="4">
        <f>ROUND(F15*(Novedades_Horas!D15*Parametros!$B$12+Novedades_Horas!E15*Parametros!$B$13+Novedades_Horas!F15*Parametros!$B$14+Novedades_Horas!G15*Parametros!$B$15),0)</f>
        <v>149500</v>
      </c>
      <c r="J15" s="4">
        <f>Novedades_Horas!I15</f>
        <v>0</v>
      </c>
      <c r="K15" s="4">
        <f t="shared" si="0"/>
        <v>3158595</v>
      </c>
      <c r="L15" s="4">
        <f>ROUND((G15+I15+J15)*Parametros!$B$9,0)</f>
        <v>116380</v>
      </c>
      <c r="M15" s="4">
        <f>ROUND((G15+I15+J15)*Parametros!$B$10,0)</f>
        <v>116380</v>
      </c>
      <c r="N15" s="4">
        <f t="shared" si="1"/>
        <v>0</v>
      </c>
      <c r="O15" s="4">
        <f>Novedades_Horas!J15</f>
        <v>0</v>
      </c>
      <c r="P15" s="4">
        <f t="shared" si="2"/>
        <v>232760</v>
      </c>
      <c r="Q15" s="4">
        <f t="shared" si="3"/>
        <v>2925835</v>
      </c>
      <c r="R15" s="4">
        <f t="shared" si="4"/>
        <v>3755043</v>
      </c>
      <c r="S15" s="2" t="str">
        <f>IF(Q15&lt;0,"ERROR: Neto negativo",IF(E15&lt;Parametros!$B$5,"ERROR: Salario bajo",IF(E15&gt;Parametros!$B$11,"REVISAR: salario alto","OK")))</f>
        <v>OK</v>
      </c>
    </row>
    <row r="16" spans="1:19" x14ac:dyDescent="0.25">
      <c r="A16" s="2" t="str">
        <f>Empleados!A16</f>
        <v>EMP-0015</v>
      </c>
      <c r="B16" s="2" t="str">
        <f>Empleados!B16</f>
        <v>Mariana Lopez</v>
      </c>
      <c r="C16" s="2" t="str">
        <f>Empleados!C16</f>
        <v>Contador</v>
      </c>
      <c r="D16" s="2" t="str">
        <f>Empleados!D16</f>
        <v>Finanzas</v>
      </c>
      <c r="E16" s="4">
        <f>Empleados!E16</f>
        <v>4940000</v>
      </c>
      <c r="F16" s="4">
        <f>E16/Parametros!$B$8</f>
        <v>20583.333333333332</v>
      </c>
      <c r="G16" s="4">
        <f>ROUND(E16/Parametros!$B$8*Novedades_Horas!C16,0)</f>
        <v>4940000</v>
      </c>
      <c r="H16" s="4">
        <f>IF(AND(E16&lt;=Parametros!$B$7,Empleados!L16="Si"),Parametros!$B$6,0)</f>
        <v>0</v>
      </c>
      <c r="I16" s="4">
        <f>ROUND(F16*(Novedades_Horas!D16*Parametros!$B$12+Novedades_Horas!E16*Parametros!$B$13+Novedades_Horas!F16*Parametros!$B$14+Novedades_Horas!G16*Parametros!$B$15),0)</f>
        <v>226417</v>
      </c>
      <c r="J16" s="4">
        <f>Novedades_Horas!I16</f>
        <v>0</v>
      </c>
      <c r="K16" s="4">
        <f t="shared" si="0"/>
        <v>5166417</v>
      </c>
      <c r="L16" s="4">
        <f>ROUND((G16+I16+J16)*Parametros!$B$9,0)</f>
        <v>206657</v>
      </c>
      <c r="M16" s="4">
        <f>ROUND((G16+I16+J16)*Parametros!$B$10,0)</f>
        <v>206657</v>
      </c>
      <c r="N16" s="4">
        <f t="shared" si="1"/>
        <v>0</v>
      </c>
      <c r="O16" s="4">
        <f>Novedades_Horas!J16</f>
        <v>250000</v>
      </c>
      <c r="P16" s="4">
        <f t="shared" si="2"/>
        <v>663314</v>
      </c>
      <c r="Q16" s="4">
        <f t="shared" si="3"/>
        <v>4503103</v>
      </c>
      <c r="R16" s="4">
        <f t="shared" si="4"/>
        <v>6225532</v>
      </c>
      <c r="S16" s="2" t="str">
        <f>IF(Q16&lt;0,"ERROR: Neto negativo",IF(E16&lt;Parametros!$B$5,"ERROR: Salario bajo",IF(E16&gt;Parametros!$B$11,"REVISAR: salario alto","OK")))</f>
        <v>OK</v>
      </c>
    </row>
    <row r="17" spans="1:19" x14ac:dyDescent="0.25">
      <c r="A17" s="2" t="str">
        <f>Empleados!A17</f>
        <v>EMP-0016</v>
      </c>
      <c r="B17" s="2" t="str">
        <f>Empleados!B17</f>
        <v>Laura Rojas</v>
      </c>
      <c r="C17" s="2" t="str">
        <f>Empleados!C17</f>
        <v>Coordinador Comercial</v>
      </c>
      <c r="D17" s="2" t="str">
        <f>Empleados!D17</f>
        <v>Operaciones</v>
      </c>
      <c r="E17" s="4">
        <f>Empleados!E17</f>
        <v>4275000</v>
      </c>
      <c r="F17" s="4">
        <f>E17/Parametros!$B$8</f>
        <v>17812.5</v>
      </c>
      <c r="G17" s="4">
        <f>ROUND(E17/Parametros!$B$8*Novedades_Horas!C17,0)</f>
        <v>4132500</v>
      </c>
      <c r="H17" s="4">
        <f>IF(AND(E17&lt;=Parametros!$B$7,Empleados!L17="Si"),Parametros!$B$6,0)</f>
        <v>0</v>
      </c>
      <c r="I17" s="4">
        <f>ROUND(F17*(Novedades_Horas!D17*Parametros!$B$12+Novedades_Horas!E17*Parametros!$B$13+Novedades_Horas!F17*Parametros!$B$14+Novedades_Horas!G17*Parametros!$B$15),0)</f>
        <v>49875</v>
      </c>
      <c r="J17" s="4">
        <f>Novedades_Horas!I17</f>
        <v>500000</v>
      </c>
      <c r="K17" s="4">
        <f t="shared" si="0"/>
        <v>4682375</v>
      </c>
      <c r="L17" s="4">
        <f>ROUND((G17+I17+J17)*Parametros!$B$9,0)</f>
        <v>187295</v>
      </c>
      <c r="M17" s="4">
        <f>ROUND((G17+I17+J17)*Parametros!$B$10,0)</f>
        <v>187295</v>
      </c>
      <c r="N17" s="4">
        <f t="shared" si="1"/>
        <v>0</v>
      </c>
      <c r="O17" s="4">
        <f>Novedades_Horas!J17</f>
        <v>0</v>
      </c>
      <c r="P17" s="4">
        <f t="shared" si="2"/>
        <v>374590</v>
      </c>
      <c r="Q17" s="4">
        <f t="shared" si="3"/>
        <v>4307785</v>
      </c>
      <c r="R17" s="4">
        <f t="shared" si="4"/>
        <v>5642262</v>
      </c>
      <c r="S17" s="2" t="str">
        <f>IF(Q17&lt;0,"ERROR: Neto negativo",IF(E17&lt;Parametros!$B$5,"ERROR: Salario bajo",IF(E17&gt;Parametros!$B$11,"REVISAR: salario alto","OK")))</f>
        <v>OK</v>
      </c>
    </row>
    <row r="18" spans="1:19" x14ac:dyDescent="0.25">
      <c r="A18" s="2" t="str">
        <f>Empleados!A18</f>
        <v>EMP-0017</v>
      </c>
      <c r="B18" s="2" t="str">
        <f>Empleados!B18</f>
        <v>Camila Jimenez</v>
      </c>
      <c r="C18" s="2" t="str">
        <f>Empleados!C18</f>
        <v>Vendedor</v>
      </c>
      <c r="D18" s="2" t="str">
        <f>Empleados!D18</f>
        <v>Operaciones</v>
      </c>
      <c r="E18" s="4">
        <f>Empleados!E18</f>
        <v>2415000</v>
      </c>
      <c r="F18" s="4">
        <f>E18/Parametros!$B$8</f>
        <v>10062.5</v>
      </c>
      <c r="G18" s="4">
        <f>ROUND(E18/Parametros!$B$8*Novedades_Horas!C18,0)</f>
        <v>2254000</v>
      </c>
      <c r="H18" s="4">
        <f>IF(AND(E18&lt;=Parametros!$B$7,Empleados!L18="Si"),Parametros!$B$6,0)</f>
        <v>249095</v>
      </c>
      <c r="I18" s="4">
        <f>ROUND(F18*(Novedades_Horas!D18*Parametros!$B$12+Novedades_Horas!E18*Parametros!$B$13+Novedades_Horas!F18*Parametros!$B$14+Novedades_Horas!G18*Parametros!$B$15),0)</f>
        <v>118234</v>
      </c>
      <c r="J18" s="4">
        <f>Novedades_Horas!I18</f>
        <v>0</v>
      </c>
      <c r="K18" s="4">
        <f t="shared" si="0"/>
        <v>2621329</v>
      </c>
      <c r="L18" s="4">
        <f>ROUND((G18+I18+J18)*Parametros!$B$9,0)</f>
        <v>94889</v>
      </c>
      <c r="M18" s="4">
        <f>ROUND((G18+I18+J18)*Parametros!$B$10,0)</f>
        <v>94889</v>
      </c>
      <c r="N18" s="4">
        <f t="shared" si="1"/>
        <v>0</v>
      </c>
      <c r="O18" s="4">
        <f>Novedades_Horas!J18</f>
        <v>0</v>
      </c>
      <c r="P18" s="4">
        <f t="shared" si="2"/>
        <v>189778</v>
      </c>
      <c r="Q18" s="4">
        <f t="shared" si="3"/>
        <v>2431551</v>
      </c>
      <c r="R18" s="4">
        <f t="shared" si="4"/>
        <v>3107637</v>
      </c>
      <c r="S18" s="2" t="str">
        <f>IF(Q18&lt;0,"ERROR: Neto negativo",IF(E18&lt;Parametros!$B$5,"ERROR: Salario bajo",IF(E18&gt;Parametros!$B$11,"REVISAR: salario alto","OK")))</f>
        <v>OK</v>
      </c>
    </row>
    <row r="19" spans="1:19" x14ac:dyDescent="0.25">
      <c r="A19" s="2" t="str">
        <f>Empleados!A19</f>
        <v>EMP-0018</v>
      </c>
      <c r="B19" s="2" t="str">
        <f>Empleados!B19</f>
        <v>Ana Gomez</v>
      </c>
      <c r="C19" s="2" t="str">
        <f>Empleados!C19</f>
        <v>Auxiliar Operativo</v>
      </c>
      <c r="D19" s="2" t="str">
        <f>Empleados!D19</f>
        <v>Tecnologia</v>
      </c>
      <c r="E19" s="4">
        <f>Empleados!E19</f>
        <v>2101086</v>
      </c>
      <c r="F19" s="4">
        <f>E19/Parametros!$B$8</f>
        <v>8754.5249999999996</v>
      </c>
      <c r="G19" s="4">
        <f>ROUND(E19/Parametros!$B$8*Novedades_Horas!C19,0)</f>
        <v>2101086</v>
      </c>
      <c r="H19" s="4">
        <f>IF(AND(E19&lt;=Parametros!$B$7,Empleados!L19="Si"),Parametros!$B$6,0)</f>
        <v>249095</v>
      </c>
      <c r="I19" s="4">
        <f>ROUND(F19*(Novedades_Horas!D19*Parametros!$B$12+Novedades_Horas!E19*Parametros!$B$13+Novedades_Horas!F19*Parametros!$B$14+Novedades_Horas!G19*Parametros!$B$15),0)</f>
        <v>87545</v>
      </c>
      <c r="J19" s="4">
        <f>Novedades_Horas!I19</f>
        <v>300000</v>
      </c>
      <c r="K19" s="4">
        <f t="shared" si="0"/>
        <v>2737726</v>
      </c>
      <c r="L19" s="4">
        <f>ROUND((G19+I19+J19)*Parametros!$B$9,0)</f>
        <v>99545</v>
      </c>
      <c r="M19" s="4">
        <f>ROUND((G19+I19+J19)*Parametros!$B$10,0)</f>
        <v>99545</v>
      </c>
      <c r="N19" s="4">
        <f t="shared" si="1"/>
        <v>0</v>
      </c>
      <c r="O19" s="4">
        <f>Novedades_Horas!J19</f>
        <v>250000</v>
      </c>
      <c r="P19" s="4">
        <f t="shared" si="2"/>
        <v>449090</v>
      </c>
      <c r="Q19" s="4">
        <f t="shared" si="3"/>
        <v>2288636</v>
      </c>
      <c r="R19" s="4">
        <f t="shared" si="4"/>
        <v>3247895</v>
      </c>
      <c r="S19" s="2" t="str">
        <f>IF(Q19&lt;0,"ERROR: Neto negativo",IF(E19&lt;Parametros!$B$5,"ERROR: Salario bajo",IF(E19&gt;Parametros!$B$11,"REVISAR: salario alto","OK")))</f>
        <v>OK</v>
      </c>
    </row>
    <row r="20" spans="1:19" x14ac:dyDescent="0.25">
      <c r="A20" s="2" t="str">
        <f>Empleados!A20</f>
        <v>EMP-0019</v>
      </c>
      <c r="B20" s="2" t="str">
        <f>Empleados!B20</f>
        <v>Jorge Vargas</v>
      </c>
      <c r="C20" s="2" t="str">
        <f>Empleados!C20</f>
        <v>Supervisor de Planta</v>
      </c>
      <c r="D20" s="2" t="str">
        <f>Empleados!D20</f>
        <v>Comercial</v>
      </c>
      <c r="E20" s="4">
        <f>Empleados!E20</f>
        <v>3780000</v>
      </c>
      <c r="F20" s="4">
        <f>E20/Parametros!$B$8</f>
        <v>15750</v>
      </c>
      <c r="G20" s="4">
        <f>ROUND(E20/Parametros!$B$8*Novedades_Horas!C20,0)</f>
        <v>3780000</v>
      </c>
      <c r="H20" s="4">
        <f>IF(AND(E20&lt;=Parametros!$B$7,Empleados!L20="Si"),Parametros!$B$6,0)</f>
        <v>0</v>
      </c>
      <c r="I20" s="4">
        <f>ROUND(F20*(Novedades_Horas!D20*Parametros!$B$12+Novedades_Horas!E20*Parametros!$B$13+Novedades_Horas!F20*Parametros!$B$14+Novedades_Horas!G20*Parametros!$B$15),0)</f>
        <v>157500</v>
      </c>
      <c r="J20" s="4">
        <f>Novedades_Horas!I20</f>
        <v>0</v>
      </c>
      <c r="K20" s="4">
        <f t="shared" si="0"/>
        <v>3937500</v>
      </c>
      <c r="L20" s="4">
        <f>ROUND((G20+I20+J20)*Parametros!$B$9,0)</f>
        <v>157500</v>
      </c>
      <c r="M20" s="4">
        <f>ROUND((G20+I20+J20)*Parametros!$B$10,0)</f>
        <v>157500</v>
      </c>
      <c r="N20" s="4">
        <f t="shared" si="1"/>
        <v>0</v>
      </c>
      <c r="O20" s="4">
        <f>Novedades_Horas!J20</f>
        <v>0</v>
      </c>
      <c r="P20" s="4">
        <f t="shared" si="2"/>
        <v>315000</v>
      </c>
      <c r="Q20" s="4">
        <f t="shared" si="3"/>
        <v>3622500</v>
      </c>
      <c r="R20" s="4">
        <f t="shared" si="4"/>
        <v>4744688</v>
      </c>
      <c r="S20" s="2" t="str">
        <f>IF(Q20&lt;0,"ERROR: Neto negativo",IF(E20&lt;Parametros!$B$5,"ERROR: Salario bajo",IF(E20&gt;Parametros!$B$11,"REVISAR: salario alto","OK")))</f>
        <v>OK</v>
      </c>
    </row>
    <row r="21" spans="1:19" x14ac:dyDescent="0.25">
      <c r="A21" s="2" t="str">
        <f>Empleados!A21</f>
        <v>EMP-0020</v>
      </c>
      <c r="B21" s="2" t="str">
        <f>Empleados!B21</f>
        <v>Natalia Garcia</v>
      </c>
      <c r="C21" s="2" t="str">
        <f>Empleados!C21</f>
        <v>Jefe de Talento Humano</v>
      </c>
      <c r="D21" s="2" t="str">
        <f>Empleados!D21</f>
        <v>Talento Humano</v>
      </c>
      <c r="E21" s="4">
        <f>Empleados!E21</f>
        <v>8580000</v>
      </c>
      <c r="F21" s="4">
        <f>E21/Parametros!$B$8</f>
        <v>35750</v>
      </c>
      <c r="G21" s="4">
        <f>ROUND(E21/Parametros!$B$8*Novedades_Horas!C21,0)</f>
        <v>8580000</v>
      </c>
      <c r="H21" s="4">
        <f>IF(AND(E21&lt;=Parametros!$B$7,Empleados!L21="Si"),Parametros!$B$6,0)</f>
        <v>0</v>
      </c>
      <c r="I21" s="4">
        <f>ROUND(F21*(Novedades_Horas!D21*Parametros!$B$12+Novedades_Horas!E21*Parametros!$B$13+Novedades_Horas!F21*Parametros!$B$14+Novedades_Horas!G21*Parametros!$B$15),0)</f>
        <v>62563</v>
      </c>
      <c r="J21" s="4">
        <f>Novedades_Horas!I21</f>
        <v>150000</v>
      </c>
      <c r="K21" s="4">
        <f t="shared" si="0"/>
        <v>8792563</v>
      </c>
      <c r="L21" s="4">
        <f>ROUND((G21+I21+J21)*Parametros!$B$9,0)</f>
        <v>351703</v>
      </c>
      <c r="M21" s="4">
        <f>ROUND((G21+I21+J21)*Parametros!$B$10,0)</f>
        <v>351703</v>
      </c>
      <c r="N21" s="4">
        <f t="shared" si="1"/>
        <v>279256</v>
      </c>
      <c r="O21" s="4">
        <f>Novedades_Horas!J21</f>
        <v>0</v>
      </c>
      <c r="P21" s="4">
        <f t="shared" si="2"/>
        <v>982662</v>
      </c>
      <c r="Q21" s="4">
        <f t="shared" si="3"/>
        <v>7809901</v>
      </c>
      <c r="R21" s="4">
        <f t="shared" si="4"/>
        <v>10595038</v>
      </c>
      <c r="S21" s="2" t="str">
        <f>IF(Q21&lt;0,"ERROR: Neto negativo",IF(E21&lt;Parametros!$B$5,"ERROR: Salario bajo",IF(E21&gt;Parametros!$B$11,"REVISAR: salario alto","OK")))</f>
        <v>OK</v>
      </c>
    </row>
    <row r="22" spans="1:19" x14ac:dyDescent="0.25">
      <c r="A22" s="2" t="str">
        <f>Empleados!A22</f>
        <v>EMP-0021</v>
      </c>
      <c r="B22" s="2" t="str">
        <f>Empleados!B22</f>
        <v>Jorge Gomez</v>
      </c>
      <c r="C22" s="2" t="str">
        <f>Empleados!C22</f>
        <v>Coordinador Comercial</v>
      </c>
      <c r="D22" s="2" t="str">
        <f>Empleados!D22</f>
        <v>Talento Humano</v>
      </c>
      <c r="E22" s="4">
        <f>Empleados!E22</f>
        <v>4275000</v>
      </c>
      <c r="F22" s="4">
        <f>E22/Parametros!$B$8</f>
        <v>17812.5</v>
      </c>
      <c r="G22" s="4">
        <f>ROUND(E22/Parametros!$B$8*Novedades_Horas!C22,0)</f>
        <v>4275000</v>
      </c>
      <c r="H22" s="4">
        <f>IF(AND(E22&lt;=Parametros!$B$7,Empleados!L22="Si"),Parametros!$B$6,0)</f>
        <v>0</v>
      </c>
      <c r="I22" s="4">
        <f>ROUND(F22*(Novedades_Horas!D22*Parametros!$B$12+Novedades_Horas!E22*Parametros!$B$13+Novedades_Horas!F22*Parametros!$B$14+Novedades_Horas!G22*Parametros!$B$15),0)</f>
        <v>187031</v>
      </c>
      <c r="J22" s="4">
        <f>Novedades_Horas!I22</f>
        <v>300000</v>
      </c>
      <c r="K22" s="4">
        <f t="shared" si="0"/>
        <v>4762031</v>
      </c>
      <c r="L22" s="4">
        <f>ROUND((G22+I22+J22)*Parametros!$B$9,0)</f>
        <v>190481</v>
      </c>
      <c r="M22" s="4">
        <f>ROUND((G22+I22+J22)*Parametros!$B$10,0)</f>
        <v>190481</v>
      </c>
      <c r="N22" s="4">
        <f t="shared" si="1"/>
        <v>0</v>
      </c>
      <c r="O22" s="4">
        <f>Novedades_Horas!J22</f>
        <v>250000</v>
      </c>
      <c r="P22" s="4">
        <f t="shared" si="2"/>
        <v>630962</v>
      </c>
      <c r="Q22" s="4">
        <f t="shared" si="3"/>
        <v>4131069</v>
      </c>
      <c r="R22" s="4">
        <f t="shared" si="4"/>
        <v>5738247</v>
      </c>
      <c r="S22" s="2" t="str">
        <f>IF(Q22&lt;0,"ERROR: Neto negativo",IF(E22&lt;Parametros!$B$5,"ERROR: Salario bajo",IF(E22&gt;Parametros!$B$11,"REVISAR: salario alto","OK")))</f>
        <v>OK</v>
      </c>
    </row>
    <row r="23" spans="1:19" x14ac:dyDescent="0.25">
      <c r="A23" s="2" t="str">
        <f>Empleados!A23</f>
        <v>EMP-0022</v>
      </c>
      <c r="B23" s="2" t="str">
        <f>Empleados!B23</f>
        <v>Paula Ramirez</v>
      </c>
      <c r="C23" s="2" t="str">
        <f>Empleados!C23</f>
        <v>Desarrollador Junior</v>
      </c>
      <c r="D23" s="2" t="str">
        <f>Empleados!D23</f>
        <v>Tecnologia</v>
      </c>
      <c r="E23" s="4">
        <f>Empleados!E23</f>
        <v>4180000</v>
      </c>
      <c r="F23" s="4">
        <f>E23/Parametros!$B$8</f>
        <v>17416.666666666668</v>
      </c>
      <c r="G23" s="4">
        <f>ROUND(E23/Parametros!$B$8*Novedades_Horas!C23,0)</f>
        <v>3901333</v>
      </c>
      <c r="H23" s="4">
        <f>IF(AND(E23&lt;=Parametros!$B$7,Empleados!L23="Si"),Parametros!$B$6,0)</f>
        <v>0</v>
      </c>
      <c r="I23" s="4">
        <f>ROUND(F23*(Novedades_Horas!D23*Parametros!$B$12+Novedades_Horas!E23*Parametros!$B$13+Novedades_Horas!F23*Parametros!$B$14+Novedades_Horas!G23*Parametros!$B$15),0)</f>
        <v>148042</v>
      </c>
      <c r="J23" s="4">
        <f>Novedades_Horas!I23</f>
        <v>500000</v>
      </c>
      <c r="K23" s="4">
        <f t="shared" si="0"/>
        <v>4549375</v>
      </c>
      <c r="L23" s="4">
        <f>ROUND((G23+I23+J23)*Parametros!$B$9,0)</f>
        <v>181975</v>
      </c>
      <c r="M23" s="4">
        <f>ROUND((G23+I23+J23)*Parametros!$B$10,0)</f>
        <v>181975</v>
      </c>
      <c r="N23" s="4">
        <f t="shared" si="1"/>
        <v>0</v>
      </c>
      <c r="O23" s="4">
        <f>Novedades_Horas!J23</f>
        <v>100000</v>
      </c>
      <c r="P23" s="4">
        <f t="shared" si="2"/>
        <v>463950</v>
      </c>
      <c r="Q23" s="4">
        <f t="shared" si="3"/>
        <v>4085425</v>
      </c>
      <c r="R23" s="4">
        <f t="shared" si="4"/>
        <v>5481997</v>
      </c>
      <c r="S23" s="2" t="str">
        <f>IF(Q23&lt;0,"ERROR: Neto negativo",IF(E23&lt;Parametros!$B$5,"ERROR: Salario bajo",IF(E23&gt;Parametros!$B$11,"REVISAR: salario alto","OK")))</f>
        <v>OK</v>
      </c>
    </row>
    <row r="24" spans="1:19" x14ac:dyDescent="0.25">
      <c r="A24" s="2" t="str">
        <f>Empleados!A24</f>
        <v>EMP-0023</v>
      </c>
      <c r="B24" s="2" t="str">
        <f>Empleados!B24</f>
        <v>Ana Garcia</v>
      </c>
      <c r="C24" s="2" t="str">
        <f>Empleados!C24</f>
        <v>Vendedor</v>
      </c>
      <c r="D24" s="2" t="str">
        <f>Empleados!D24</f>
        <v>Talento Humano</v>
      </c>
      <c r="E24" s="4">
        <f>Empleados!E24</f>
        <v>2530000</v>
      </c>
      <c r="F24" s="4">
        <f>E24/Parametros!$B$8</f>
        <v>10541.666666666666</v>
      </c>
      <c r="G24" s="4">
        <f>ROUND(E24/Parametros!$B$8*Novedades_Horas!C24,0)</f>
        <v>2530000</v>
      </c>
      <c r="H24" s="4">
        <f>IF(AND(E24&lt;=Parametros!$B$7,Empleados!L24="Si"),Parametros!$B$6,0)</f>
        <v>249095</v>
      </c>
      <c r="I24" s="4">
        <f>ROUND(F24*(Novedades_Horas!D24*Parametros!$B$12+Novedades_Horas!E24*Parametros!$B$13+Novedades_Horas!F24*Parametros!$B$14+Novedades_Horas!G24*Parametros!$B$15),0)</f>
        <v>108052</v>
      </c>
      <c r="J24" s="4">
        <f>Novedades_Horas!I24</f>
        <v>0</v>
      </c>
      <c r="K24" s="4">
        <f t="shared" si="0"/>
        <v>2887147</v>
      </c>
      <c r="L24" s="4">
        <f>ROUND((G24+I24+J24)*Parametros!$B$9,0)</f>
        <v>105522</v>
      </c>
      <c r="M24" s="4">
        <f>ROUND((G24+I24+J24)*Parametros!$B$10,0)</f>
        <v>105522</v>
      </c>
      <c r="N24" s="4">
        <f t="shared" si="1"/>
        <v>0</v>
      </c>
      <c r="O24" s="4">
        <f>Novedades_Horas!J24</f>
        <v>0</v>
      </c>
      <c r="P24" s="4">
        <f t="shared" si="2"/>
        <v>211044</v>
      </c>
      <c r="Q24" s="4">
        <f t="shared" si="3"/>
        <v>2676103</v>
      </c>
      <c r="R24" s="4">
        <f t="shared" si="4"/>
        <v>3427948</v>
      </c>
      <c r="S24" s="2" t="str">
        <f>IF(Q24&lt;0,"ERROR: Neto negativo",IF(E24&lt;Parametros!$B$5,"ERROR: Salario bajo",IF(E24&gt;Parametros!$B$11,"REVISAR: salario alto","OK")))</f>
        <v>OK</v>
      </c>
    </row>
    <row r="25" spans="1:19" x14ac:dyDescent="0.25">
      <c r="A25" s="2" t="str">
        <f>Empleados!A25</f>
        <v>EMP-0024</v>
      </c>
      <c r="B25" s="2" t="str">
        <f>Empleados!B25</f>
        <v>Laura Sanchez</v>
      </c>
      <c r="C25" s="2" t="str">
        <f>Empleados!C25</f>
        <v>Vendedor</v>
      </c>
      <c r="D25" s="2" t="str">
        <f>Empleados!D25</f>
        <v>Administracion</v>
      </c>
      <c r="E25" s="4">
        <f>Empleados!E25</f>
        <v>2300000</v>
      </c>
      <c r="F25" s="4">
        <f>E25/Parametros!$B$8</f>
        <v>9583.3333333333339</v>
      </c>
      <c r="G25" s="4">
        <f>ROUND(E25/Parametros!$B$8*Novedades_Horas!C25,0)</f>
        <v>2146667</v>
      </c>
      <c r="H25" s="4">
        <f>IF(AND(E25&lt;=Parametros!$B$7,Empleados!L25="Si"),Parametros!$B$6,0)</f>
        <v>249095</v>
      </c>
      <c r="I25" s="4">
        <f>ROUND(F25*(Novedades_Horas!D25*Parametros!$B$12+Novedades_Horas!E25*Parametros!$B$13+Novedades_Horas!F25*Parametros!$B$14+Novedades_Horas!G25*Parametros!$B$15),0)</f>
        <v>95833</v>
      </c>
      <c r="J25" s="4">
        <f>Novedades_Horas!I25</f>
        <v>0</v>
      </c>
      <c r="K25" s="4">
        <f t="shared" si="0"/>
        <v>2491595</v>
      </c>
      <c r="L25" s="4">
        <f>ROUND((G25+I25+J25)*Parametros!$B$9,0)</f>
        <v>89700</v>
      </c>
      <c r="M25" s="4">
        <f>ROUND((G25+I25+J25)*Parametros!$B$10,0)</f>
        <v>89700</v>
      </c>
      <c r="N25" s="4">
        <f t="shared" si="1"/>
        <v>0</v>
      </c>
      <c r="O25" s="4">
        <f>Novedades_Horas!J25</f>
        <v>0</v>
      </c>
      <c r="P25" s="4">
        <f t="shared" si="2"/>
        <v>179400</v>
      </c>
      <c r="Q25" s="4">
        <f t="shared" si="3"/>
        <v>2312195</v>
      </c>
      <c r="R25" s="4">
        <f t="shared" si="4"/>
        <v>2951308</v>
      </c>
      <c r="S25" s="2" t="str">
        <f>IF(Q25&lt;0,"ERROR: Neto negativo",IF(E25&lt;Parametros!$B$5,"ERROR: Salario bajo",IF(E25&gt;Parametros!$B$11,"REVISAR: salario alto","OK")))</f>
        <v>OK</v>
      </c>
    </row>
    <row r="26" spans="1:19" x14ac:dyDescent="0.25">
      <c r="A26" s="2" t="str">
        <f>Empleados!A26</f>
        <v>EMP-0025</v>
      </c>
      <c r="B26" s="2" t="str">
        <f>Empleados!B26</f>
        <v>Miguel Castro</v>
      </c>
      <c r="C26" s="2" t="str">
        <f>Empleados!C26</f>
        <v>Jefe de Talento Humano</v>
      </c>
      <c r="D26" s="2" t="str">
        <f>Empleados!D26</f>
        <v>Comercial</v>
      </c>
      <c r="E26" s="4">
        <f>Empleados!E26</f>
        <v>7800000</v>
      </c>
      <c r="F26" s="4">
        <f>E26/Parametros!$B$8</f>
        <v>32500</v>
      </c>
      <c r="G26" s="4">
        <f>ROUND(E26/Parametros!$B$8*Novedades_Horas!C26,0)</f>
        <v>7800000</v>
      </c>
      <c r="H26" s="4">
        <f>IF(AND(E26&lt;=Parametros!$B$7,Empleados!L26="Si"),Parametros!$B$6,0)</f>
        <v>0</v>
      </c>
      <c r="I26" s="4">
        <f>ROUND(F26*(Novedades_Horas!D26*Parametros!$B$12+Novedades_Horas!E26*Parametros!$B$13+Novedades_Horas!F26*Parametros!$B$14+Novedades_Horas!G26*Parametros!$B$15),0)</f>
        <v>390000</v>
      </c>
      <c r="J26" s="4">
        <f>Novedades_Horas!I26</f>
        <v>0</v>
      </c>
      <c r="K26" s="4">
        <f t="shared" si="0"/>
        <v>8190000</v>
      </c>
      <c r="L26" s="4">
        <f>ROUND((G26+I26+J26)*Parametros!$B$9,0)</f>
        <v>327600</v>
      </c>
      <c r="M26" s="4">
        <f>ROUND((G26+I26+J26)*Parametros!$B$10,0)</f>
        <v>327600</v>
      </c>
      <c r="N26" s="4">
        <f t="shared" si="1"/>
        <v>219000</v>
      </c>
      <c r="O26" s="4">
        <f>Novedades_Horas!J26</f>
        <v>0</v>
      </c>
      <c r="P26" s="4">
        <f t="shared" si="2"/>
        <v>874200</v>
      </c>
      <c r="Q26" s="4">
        <f t="shared" si="3"/>
        <v>7315800</v>
      </c>
      <c r="R26" s="4">
        <f t="shared" si="4"/>
        <v>9868950</v>
      </c>
      <c r="S26" s="2" t="str">
        <f>IF(Q26&lt;0,"ERROR: Neto negativo",IF(E26&lt;Parametros!$B$5,"ERROR: Salario bajo",IF(E26&gt;Parametros!$B$11,"REVISAR: salario alto","OK")))</f>
        <v>OK</v>
      </c>
    </row>
    <row r="27" spans="1:19" x14ac:dyDescent="0.25">
      <c r="A27" s="2" t="str">
        <f>Empleados!A27</f>
        <v>EMP-0026</v>
      </c>
      <c r="B27" s="2" t="str">
        <f>Empleados!B27</f>
        <v>Daniel Vargas</v>
      </c>
      <c r="C27" s="2" t="str">
        <f>Empleados!C27</f>
        <v>Coordinador Comercial</v>
      </c>
      <c r="D27" s="2" t="str">
        <f>Empleados!D27</f>
        <v>Operaciones</v>
      </c>
      <c r="E27" s="4">
        <f>Empleados!E27</f>
        <v>4950000</v>
      </c>
      <c r="F27" s="4">
        <f>E27/Parametros!$B$8</f>
        <v>20625</v>
      </c>
      <c r="G27" s="4">
        <f>ROUND(E27/Parametros!$B$8*Novedades_Horas!C27,0)</f>
        <v>4620000</v>
      </c>
      <c r="H27" s="4">
        <f>IF(AND(E27&lt;=Parametros!$B$7,Empleados!L27="Si"),Parametros!$B$6,0)</f>
        <v>0</v>
      </c>
      <c r="I27" s="4">
        <f>ROUND(F27*(Novedades_Horas!D27*Parametros!$B$12+Novedades_Horas!E27*Parametros!$B$13+Novedades_Horas!F27*Parametros!$B$14+Novedades_Horas!G27*Parametros!$B$15),0)</f>
        <v>181500</v>
      </c>
      <c r="J27" s="4">
        <f>Novedades_Horas!I27</f>
        <v>0</v>
      </c>
      <c r="K27" s="4">
        <f t="shared" si="0"/>
        <v>4801500</v>
      </c>
      <c r="L27" s="4">
        <f>ROUND((G27+I27+J27)*Parametros!$B$9,0)</f>
        <v>192060</v>
      </c>
      <c r="M27" s="4">
        <f>ROUND((G27+I27+J27)*Parametros!$B$10,0)</f>
        <v>192060</v>
      </c>
      <c r="N27" s="4">
        <f t="shared" si="1"/>
        <v>0</v>
      </c>
      <c r="O27" s="4">
        <f>Novedades_Horas!J27</f>
        <v>100000</v>
      </c>
      <c r="P27" s="4">
        <f t="shared" si="2"/>
        <v>484120</v>
      </c>
      <c r="Q27" s="4">
        <f t="shared" si="3"/>
        <v>4317380</v>
      </c>
      <c r="R27" s="4">
        <f t="shared" si="4"/>
        <v>5785808</v>
      </c>
      <c r="S27" s="2" t="str">
        <f>IF(Q27&lt;0,"ERROR: Neto negativo",IF(E27&lt;Parametros!$B$5,"ERROR: Salario bajo",IF(E27&gt;Parametros!$B$11,"REVISAR: salario alto","OK")))</f>
        <v>OK</v>
      </c>
    </row>
    <row r="28" spans="1:19" x14ac:dyDescent="0.25">
      <c r="A28" s="2" t="str">
        <f>Empleados!A28</f>
        <v>EMP-0027</v>
      </c>
      <c r="B28" s="2" t="str">
        <f>Empleados!B28</f>
        <v>Camila Perez</v>
      </c>
      <c r="C28" s="2" t="str">
        <f>Empleados!C28</f>
        <v>Auxiliar Operativo</v>
      </c>
      <c r="D28" s="2" t="str">
        <f>Empleados!D28</f>
        <v>Comercial</v>
      </c>
      <c r="E28" s="4">
        <f>Empleados!E28</f>
        <v>1750905</v>
      </c>
      <c r="F28" s="4">
        <f>E28/Parametros!$B$8</f>
        <v>7295.4375</v>
      </c>
      <c r="G28" s="4">
        <f>ROUND(E28/Parametros!$B$8*Novedades_Horas!C28,0)</f>
        <v>1750905</v>
      </c>
      <c r="H28" s="4">
        <f>IF(AND(E28&lt;=Parametros!$B$7,Empleados!L28="Si"),Parametros!$B$6,0)</f>
        <v>249095</v>
      </c>
      <c r="I28" s="4">
        <f>ROUND(F28*(Novedades_Horas!D28*Parametros!$B$12+Novedades_Horas!E28*Parametros!$B$13+Novedades_Horas!F28*Parametros!$B$14+Novedades_Horas!G28*Parametros!$B$15),0)</f>
        <v>51068</v>
      </c>
      <c r="J28" s="4">
        <f>Novedades_Horas!I28</f>
        <v>0</v>
      </c>
      <c r="K28" s="4">
        <f t="shared" si="0"/>
        <v>2051068</v>
      </c>
      <c r="L28" s="4">
        <f>ROUND((G28+I28+J28)*Parametros!$B$9,0)</f>
        <v>72079</v>
      </c>
      <c r="M28" s="4">
        <f>ROUND((G28+I28+J28)*Parametros!$B$10,0)</f>
        <v>72079</v>
      </c>
      <c r="N28" s="4">
        <f t="shared" si="1"/>
        <v>0</v>
      </c>
      <c r="O28" s="4">
        <f>Novedades_Horas!J28</f>
        <v>250000</v>
      </c>
      <c r="P28" s="4">
        <f t="shared" si="2"/>
        <v>394158</v>
      </c>
      <c r="Q28" s="4">
        <f t="shared" si="3"/>
        <v>1656910</v>
      </c>
      <c r="R28" s="4">
        <f t="shared" si="4"/>
        <v>2420472</v>
      </c>
      <c r="S28" s="2" t="str">
        <f>IF(Q28&lt;0,"ERROR: Neto negativo",IF(E28&lt;Parametros!$B$5,"ERROR: Salario bajo",IF(E28&gt;Parametros!$B$11,"REVISAR: salario alto","OK")))</f>
        <v>OK</v>
      </c>
    </row>
    <row r="29" spans="1:19" x14ac:dyDescent="0.25">
      <c r="A29" s="2" t="str">
        <f>Empleados!A29</f>
        <v>EMP-0028</v>
      </c>
      <c r="B29" s="2" t="str">
        <f>Empleados!B29</f>
        <v>Manuela Diaz</v>
      </c>
      <c r="C29" s="2" t="str">
        <f>Empleados!C29</f>
        <v>Contador</v>
      </c>
      <c r="D29" s="2" t="str">
        <f>Empleados!D29</f>
        <v>Tecnologia</v>
      </c>
      <c r="E29" s="4">
        <f>Empleados!E29</f>
        <v>5200000</v>
      </c>
      <c r="F29" s="4">
        <f>E29/Parametros!$B$8</f>
        <v>21666.666666666668</v>
      </c>
      <c r="G29" s="4">
        <f>ROUND(E29/Parametros!$B$8*Novedades_Horas!C29,0)</f>
        <v>5200000</v>
      </c>
      <c r="H29" s="4">
        <f>IF(AND(E29&lt;=Parametros!$B$7,Empleados!L29="Si"),Parametros!$B$6,0)</f>
        <v>0</v>
      </c>
      <c r="I29" s="4">
        <f>ROUND(F29*(Novedades_Horas!D29*Parametros!$B$12+Novedades_Horas!E29*Parametros!$B$13+Novedades_Horas!F29*Parametros!$B$14+Novedades_Horas!G29*Parametros!$B$15),0)</f>
        <v>200417</v>
      </c>
      <c r="J29" s="4">
        <f>Novedades_Horas!I29</f>
        <v>500000</v>
      </c>
      <c r="K29" s="4">
        <f t="shared" si="0"/>
        <v>5900417</v>
      </c>
      <c r="L29" s="4">
        <f>ROUND((G29+I29+J29)*Parametros!$B$9,0)</f>
        <v>236017</v>
      </c>
      <c r="M29" s="4">
        <f>ROUND((G29+I29+J29)*Parametros!$B$10,0)</f>
        <v>236017</v>
      </c>
      <c r="N29" s="4">
        <f t="shared" si="1"/>
        <v>0</v>
      </c>
      <c r="O29" s="4">
        <f>Novedades_Horas!J29</f>
        <v>0</v>
      </c>
      <c r="P29" s="4">
        <f t="shared" si="2"/>
        <v>472034</v>
      </c>
      <c r="Q29" s="4">
        <f t="shared" si="3"/>
        <v>5428383</v>
      </c>
      <c r="R29" s="4">
        <f t="shared" si="4"/>
        <v>7110002</v>
      </c>
      <c r="S29" s="2" t="str">
        <f>IF(Q29&lt;0,"ERROR: Neto negativo",IF(E29&lt;Parametros!$B$5,"ERROR: Salario bajo",IF(E29&gt;Parametros!$B$11,"REVISAR: salario alto","OK")))</f>
        <v>OK</v>
      </c>
    </row>
    <row r="30" spans="1:19" x14ac:dyDescent="0.25">
      <c r="A30" s="2" t="str">
        <f>Empleados!A30</f>
        <v>EMP-0029</v>
      </c>
      <c r="B30" s="2" t="str">
        <f>Empleados!B30</f>
        <v>Natalia Lopez</v>
      </c>
      <c r="C30" s="2" t="str">
        <f>Empleados!C30</f>
        <v>Analista de Nomina</v>
      </c>
      <c r="D30" s="2" t="str">
        <f>Empleados!D30</f>
        <v>Finanzas</v>
      </c>
      <c r="E30" s="4">
        <f>Empleados!E30</f>
        <v>3360000</v>
      </c>
      <c r="F30" s="4">
        <f>E30/Parametros!$B$8</f>
        <v>14000</v>
      </c>
      <c r="G30" s="4">
        <f>ROUND(E30/Parametros!$B$8*Novedades_Horas!C30,0)</f>
        <v>3360000</v>
      </c>
      <c r="H30" s="4">
        <f>IF(AND(E30&lt;=Parametros!$B$7,Empleados!L30="Si"),Parametros!$B$6,0)</f>
        <v>249095</v>
      </c>
      <c r="I30" s="4">
        <f>ROUND(F30*(Novedades_Horas!D30*Parametros!$B$12+Novedades_Horas!E30*Parametros!$B$13+Novedades_Horas!F30*Parametros!$B$14+Novedades_Horas!G30*Parametros!$B$15),0)</f>
        <v>119000</v>
      </c>
      <c r="J30" s="4">
        <f>Novedades_Horas!I30</f>
        <v>500000</v>
      </c>
      <c r="K30" s="4">
        <f t="shared" si="0"/>
        <v>4228095</v>
      </c>
      <c r="L30" s="4">
        <f>ROUND((G30+I30+J30)*Parametros!$B$9,0)</f>
        <v>159160</v>
      </c>
      <c r="M30" s="4">
        <f>ROUND((G30+I30+J30)*Parametros!$B$10,0)</f>
        <v>159160</v>
      </c>
      <c r="N30" s="4">
        <f t="shared" si="1"/>
        <v>0</v>
      </c>
      <c r="O30" s="4">
        <f>Novedades_Horas!J30</f>
        <v>250000</v>
      </c>
      <c r="P30" s="4">
        <f t="shared" si="2"/>
        <v>568320</v>
      </c>
      <c r="Q30" s="4">
        <f t="shared" si="3"/>
        <v>3659775</v>
      </c>
      <c r="R30" s="4">
        <f t="shared" si="4"/>
        <v>5043790</v>
      </c>
      <c r="S30" s="2" t="str">
        <f>IF(Q30&lt;0,"ERROR: Neto negativo",IF(E30&lt;Parametros!$B$5,"ERROR: Salario bajo",IF(E30&gt;Parametros!$B$11,"REVISAR: salario alto","OK")))</f>
        <v>OK</v>
      </c>
    </row>
    <row r="31" spans="1:19" x14ac:dyDescent="0.25">
      <c r="A31" s="2" t="str">
        <f>Empleados!A31</f>
        <v>EMP-0030</v>
      </c>
      <c r="B31" s="2" t="str">
        <f>Empleados!B31</f>
        <v>Isabella Lopez</v>
      </c>
      <c r="C31" s="2" t="str">
        <f>Empleados!C31</f>
        <v>Vendedor</v>
      </c>
      <c r="D31" s="2" t="str">
        <f>Empleados!D31</f>
        <v>Tecnologia</v>
      </c>
      <c r="E31" s="4">
        <f>Empleados!E31</f>
        <v>2760000</v>
      </c>
      <c r="F31" s="4">
        <f>E31/Parametros!$B$8</f>
        <v>11500</v>
      </c>
      <c r="G31" s="4">
        <f>ROUND(E31/Parametros!$B$8*Novedades_Horas!C31,0)</f>
        <v>2668000</v>
      </c>
      <c r="H31" s="4">
        <f>IF(AND(E31&lt;=Parametros!$B$7,Empleados!L31="Si"),Parametros!$B$6,0)</f>
        <v>249095</v>
      </c>
      <c r="I31" s="4">
        <f>ROUND(F31*(Novedades_Horas!D31*Parametros!$B$12+Novedades_Horas!E31*Parametros!$B$13+Novedades_Horas!F31*Parametros!$B$14+Novedades_Horas!G31*Parametros!$B$15),0)</f>
        <v>287500</v>
      </c>
      <c r="J31" s="4">
        <f>Novedades_Horas!I31</f>
        <v>150000</v>
      </c>
      <c r="K31" s="4">
        <f t="shared" si="0"/>
        <v>3354595</v>
      </c>
      <c r="L31" s="4">
        <f>ROUND((G31+I31+J31)*Parametros!$B$9,0)</f>
        <v>124220</v>
      </c>
      <c r="M31" s="4">
        <f>ROUND((G31+I31+J31)*Parametros!$B$10,0)</f>
        <v>124220</v>
      </c>
      <c r="N31" s="4">
        <f t="shared" si="1"/>
        <v>0</v>
      </c>
      <c r="O31" s="4">
        <f>Novedades_Horas!J31</f>
        <v>0</v>
      </c>
      <c r="P31" s="4">
        <f t="shared" si="2"/>
        <v>248440</v>
      </c>
      <c r="Q31" s="4">
        <f t="shared" si="3"/>
        <v>3106155</v>
      </c>
      <c r="R31" s="4">
        <f t="shared" si="4"/>
        <v>3991223</v>
      </c>
      <c r="S31" s="2" t="str">
        <f>IF(Q31&lt;0,"ERROR: Neto negativo",IF(E31&lt;Parametros!$B$5,"ERROR: Salario bajo",IF(E31&gt;Parametros!$B$11,"REVISAR: salario alto","OK")))</f>
        <v>OK</v>
      </c>
    </row>
  </sheetData>
  <conditionalFormatting sqref="S2:S500">
    <cfRule type="expression" dxfId="2" priority="1">
      <formula>LEFT($S2,5)="ERROR"</formula>
    </cfRule>
    <cfRule type="expression" dxfId="1" priority="2">
      <formula>LEFT($S2,7)="REVISAR"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6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6" customWidth="1"/>
    <col min="3" max="3" width="58" customWidth="1"/>
  </cols>
  <sheetData>
    <row r="1" spans="1:3" x14ac:dyDescent="0.25">
      <c r="A1" s="1" t="s">
        <v>210</v>
      </c>
      <c r="B1" s="1" t="s">
        <v>211</v>
      </c>
      <c r="C1" s="1" t="s">
        <v>212</v>
      </c>
    </row>
    <row r="2" spans="1:3" x14ac:dyDescent="0.25">
      <c r="A2" s="2" t="s">
        <v>213</v>
      </c>
      <c r="B2" s="2">
        <f>COUNTBLANK(Empleados!B2:B505)</f>
        <v>469</v>
      </c>
      <c r="C2" s="2" t="s">
        <v>214</v>
      </c>
    </row>
    <row r="3" spans="1:3" x14ac:dyDescent="0.25">
      <c r="A3" s="2" t="s">
        <v>215</v>
      </c>
      <c r="B3" s="2">
        <f>COUNTIF(Empleados!E2:E505,"&lt;"&amp;Parametros!$B$5)</f>
        <v>0</v>
      </c>
      <c r="C3" s="2" t="s">
        <v>216</v>
      </c>
    </row>
    <row r="4" spans="1:3" x14ac:dyDescent="0.25">
      <c r="A4" s="2" t="s">
        <v>217</v>
      </c>
      <c r="B4" s="2">
        <f>COUNTIFS(Novedades_Horas!C2:C500,"&gt;240")+COUNTIFS(Novedades_Horas!C2:C500,"&lt;0")</f>
        <v>0</v>
      </c>
      <c r="C4" s="2" t="s">
        <v>218</v>
      </c>
    </row>
    <row r="5" spans="1:3" x14ac:dyDescent="0.25">
      <c r="A5" s="2" t="s">
        <v>219</v>
      </c>
      <c r="B5" s="2">
        <f>COUNTIF(Calculo_Nomina!Q2:Q500,"&lt;0")</f>
        <v>0</v>
      </c>
      <c r="C5" s="2" t="s">
        <v>220</v>
      </c>
    </row>
    <row r="6" spans="1:3" x14ac:dyDescent="0.25">
      <c r="A6" s="2" t="s">
        <v>221</v>
      </c>
      <c r="B6" s="2">
        <f>COUNTIF(Calculo_Nomina!S2:S500,"&lt;&gt;OK")</f>
        <v>469</v>
      </c>
      <c r="C6" s="2" t="s">
        <v>222</v>
      </c>
    </row>
  </sheetData>
  <conditionalFormatting sqref="B2:B100">
    <cfRule type="cellIs" dxfId="0" priority="1" operator="greater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9"/>
  <sheetViews>
    <sheetView showGridLines="0" workbookViewId="0">
      <pane ySplit="2" topLeftCell="A3" activePane="bottomLeft" state="frozen"/>
      <selection pane="bottomLeft" activeCell="F35" sqref="F35"/>
    </sheetView>
  </sheetViews>
  <sheetFormatPr baseColWidth="10" defaultColWidth="9.140625" defaultRowHeight="15" x14ac:dyDescent="0.25"/>
  <cols>
    <col min="1" max="1" width="26" customWidth="1"/>
    <col min="2" max="2" width="20" customWidth="1"/>
    <col min="4" max="4" width="22" customWidth="1"/>
    <col min="5" max="6" width="18" customWidth="1"/>
  </cols>
  <sheetData>
    <row r="1" spans="1:6" ht="46.5" customHeight="1" x14ac:dyDescent="0.25">
      <c r="A1" s="7" t="s">
        <v>223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8" t="s">
        <v>224</v>
      </c>
      <c r="E2" s="2"/>
      <c r="F2" s="2"/>
    </row>
    <row r="3" spans="1:6" x14ac:dyDescent="0.25">
      <c r="A3" s="1" t="s">
        <v>225</v>
      </c>
      <c r="B3" s="9">
        <f>DATE(Parametros!$B$2,Parametros!$B$3,1)</f>
        <v>46143</v>
      </c>
      <c r="C3" s="1"/>
      <c r="D3" s="1" t="s">
        <v>37</v>
      </c>
      <c r="E3" s="1" t="s">
        <v>226</v>
      </c>
      <c r="F3" s="1" t="s">
        <v>227</v>
      </c>
    </row>
    <row r="4" spans="1:6" x14ac:dyDescent="0.25">
      <c r="A4" s="10" t="s">
        <v>228</v>
      </c>
      <c r="B4" s="3">
        <f>COUNTIF(Empleados!L:L,"Si")</f>
        <v>35</v>
      </c>
      <c r="C4" s="2"/>
      <c r="D4" s="2" t="s">
        <v>86</v>
      </c>
      <c r="E4" s="4">
        <f>SUMIF(Calculo_Nomina!D:D,D4,Calculo_Nomina!Q:Q)</f>
        <v>7880677</v>
      </c>
      <c r="F4" s="4">
        <f>SUMIF(Calculo_Nomina!D:D,D4,Calculo_Nomina!R:R)</f>
        <v>10252554</v>
      </c>
    </row>
    <row r="5" spans="1:6" x14ac:dyDescent="0.25">
      <c r="A5" s="10" t="s">
        <v>229</v>
      </c>
      <c r="B5" s="4">
        <f>SUM(Calculo_Nomina!K:K)</f>
        <v>124912952</v>
      </c>
      <c r="C5" s="2"/>
      <c r="D5" s="2" t="s">
        <v>66</v>
      </c>
      <c r="E5" s="4">
        <f>SUMIF(Calculo_Nomina!D:D,D5,Calculo_Nomina!Q:Q)</f>
        <v>20180538</v>
      </c>
      <c r="F5" s="4">
        <f>SUMIF(Calculo_Nomina!D:D,D5,Calculo_Nomina!R:R)</f>
        <v>26892077</v>
      </c>
    </row>
    <row r="6" spans="1:6" x14ac:dyDescent="0.25">
      <c r="A6" s="10" t="s">
        <v>230</v>
      </c>
      <c r="B6" s="4">
        <f>SUM(Calculo_Nomina!P:P)</f>
        <v>12540743</v>
      </c>
      <c r="C6" s="2"/>
      <c r="D6" s="2" t="s">
        <v>50</v>
      </c>
      <c r="E6" s="4">
        <f>SUMIF(Calculo_Nomina!D:D,D6,Calculo_Nomina!Q:Q)</f>
        <v>15172159</v>
      </c>
      <c r="F6" s="4">
        <f>SUMIF(Calculo_Nomina!D:D,D6,Calculo_Nomina!R:R)</f>
        <v>20218459</v>
      </c>
    </row>
    <row r="7" spans="1:6" x14ac:dyDescent="0.25">
      <c r="A7" s="10" t="s">
        <v>231</v>
      </c>
      <c r="B7" s="4">
        <f>SUM(Calculo_Nomina!Q:Q)</f>
        <v>112372209</v>
      </c>
      <c r="C7" s="2"/>
      <c r="D7" s="2" t="s">
        <v>59</v>
      </c>
      <c r="E7" s="4">
        <f>SUMIF(Calculo_Nomina!D:D,D7,Calculo_Nomina!Q:Q)</f>
        <v>18930462</v>
      </c>
      <c r="F7" s="4">
        <f>SUMIF(Calculo_Nomina!D:D,D7,Calculo_Nomina!R:R)</f>
        <v>25152694</v>
      </c>
    </row>
    <row r="8" spans="1:6" x14ac:dyDescent="0.25">
      <c r="A8" s="10" t="s">
        <v>232</v>
      </c>
      <c r="B8" s="4">
        <f>SUM(Calculo_Nomina!R:R)</f>
        <v>149754141</v>
      </c>
      <c r="C8" s="2"/>
      <c r="D8" s="2" t="s">
        <v>103</v>
      </c>
      <c r="E8" s="4">
        <f>SUMIF(Calculo_Nomina!D:D,D8,Calculo_Nomina!Q:Q)</f>
        <v>25371767</v>
      </c>
      <c r="F8" s="4">
        <f>SUMIF(Calculo_Nomina!D:D,D8,Calculo_Nomina!R:R)</f>
        <v>34153431</v>
      </c>
    </row>
    <row r="9" spans="1:6" x14ac:dyDescent="0.25">
      <c r="A9" s="10" t="s">
        <v>233</v>
      </c>
      <c r="B9" s="4">
        <f>COUNTIF(Calculo_Nomina!S:S,"&lt;&gt;OK")-1</f>
        <v>1048545</v>
      </c>
      <c r="C9" s="2"/>
      <c r="D9" s="2" t="s">
        <v>82</v>
      </c>
      <c r="E9" s="4">
        <f>SUMIF(Calculo_Nomina!D:D,D9,Calculo_Nomina!Q:Q)</f>
        <v>24836606</v>
      </c>
      <c r="F9" s="4">
        <f>SUMIF(Calculo_Nomina!D:D,D9,Calculo_Nomina!R:R)</f>
        <v>33084926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5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4" customWidth="1"/>
    <col min="3" max="3" width="16" customWidth="1"/>
    <col min="4" max="4" width="22" customWidth="1"/>
    <col min="5" max="5" width="42" customWidth="1"/>
  </cols>
  <sheetData>
    <row r="1" spans="1:5" x14ac:dyDescent="0.25">
      <c r="A1" s="1" t="s">
        <v>234</v>
      </c>
      <c r="B1" s="1" t="s">
        <v>0</v>
      </c>
      <c r="C1" s="1" t="s">
        <v>1</v>
      </c>
      <c r="D1" s="1" t="s">
        <v>235</v>
      </c>
      <c r="E1" s="1" t="s">
        <v>236</v>
      </c>
    </row>
    <row r="2" spans="1:5" x14ac:dyDescent="0.25">
      <c r="A2" s="2" t="s">
        <v>237</v>
      </c>
      <c r="B2" s="2" t="s">
        <v>238</v>
      </c>
      <c r="C2" s="5">
        <v>0</v>
      </c>
      <c r="D2" s="4">
        <f>SUM(Calculo_Nomina!Q:Q)</f>
        <v>112372209</v>
      </c>
      <c r="E2" s="2" t="s">
        <v>239</v>
      </c>
    </row>
    <row r="3" spans="1:5" x14ac:dyDescent="0.25">
      <c r="A3" s="2" t="s">
        <v>240</v>
      </c>
      <c r="B3" s="2" t="s">
        <v>238</v>
      </c>
      <c r="C3" s="5">
        <v>0.1</v>
      </c>
      <c r="D3" s="4">
        <f>ROUND(SUM(Calculo_Nomina!Q:Q)*(1+C3),0)</f>
        <v>123609430</v>
      </c>
      <c r="E3" s="2" t="s">
        <v>241</v>
      </c>
    </row>
    <row r="4" spans="1:5" x14ac:dyDescent="0.25">
      <c r="A4" s="2" t="s">
        <v>242</v>
      </c>
      <c r="B4" s="2" t="s">
        <v>243</v>
      </c>
      <c r="C4" s="3">
        <v>5</v>
      </c>
      <c r="D4" s="4">
        <f>C4*Parametros!$B$5</f>
        <v>8754525</v>
      </c>
      <c r="E4" s="2" t="s">
        <v>244</v>
      </c>
    </row>
    <row r="5" spans="1:5" x14ac:dyDescent="0.25">
      <c r="A5" s="2" t="s">
        <v>245</v>
      </c>
      <c r="B5" s="2" t="s">
        <v>246</v>
      </c>
      <c r="C5" s="3">
        <v>0</v>
      </c>
      <c r="D5" s="4">
        <f>SUM(Calculo_Nomina!Q:Q)-SUM(Calculo_Nomina!H:H)</f>
        <v>108635784</v>
      </c>
      <c r="E5" s="2" t="s">
        <v>247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12"/>
  <sheetViews>
    <sheetView showGridLines="0" tabSelected="1" workbookViewId="0">
      <pane ySplit="2" topLeftCell="A4" activePane="bottomLeft" state="frozen"/>
      <selection pane="bottomLeft" activeCell="B17" sqref="B17"/>
    </sheetView>
  </sheetViews>
  <sheetFormatPr baseColWidth="10" defaultColWidth="9.140625" defaultRowHeight="15" x14ac:dyDescent="0.25"/>
  <cols>
    <col min="1" max="1" width="34" customWidth="1"/>
    <col min="2" max="2" width="72" customWidth="1"/>
    <col min="3" max="3" width="18" customWidth="1"/>
  </cols>
  <sheetData>
    <row r="1" spans="1:3" ht="42" customHeight="1" x14ac:dyDescent="0.25">
      <c r="A1" s="11" t="s">
        <v>248</v>
      </c>
      <c r="B1" s="2"/>
      <c r="C1" s="2"/>
    </row>
    <row r="2" spans="1:3" x14ac:dyDescent="0.25">
      <c r="A2" s="1" t="s">
        <v>249</v>
      </c>
      <c r="B2" s="1" t="s">
        <v>250</v>
      </c>
      <c r="C2" s="1" t="s">
        <v>251</v>
      </c>
    </row>
    <row r="3" spans="1:3" ht="30" customHeight="1" x14ac:dyDescent="0.25">
      <c r="A3" s="2" t="s">
        <v>252</v>
      </c>
      <c r="B3" s="2" t="s">
        <v>253</v>
      </c>
      <c r="C3" s="2" t="s">
        <v>254</v>
      </c>
    </row>
    <row r="4" spans="1:3" ht="30" customHeight="1" x14ac:dyDescent="0.25">
      <c r="A4" s="2" t="s">
        <v>255</v>
      </c>
      <c r="B4" s="2" t="s">
        <v>289</v>
      </c>
      <c r="C4" s="2" t="s">
        <v>256</v>
      </c>
    </row>
    <row r="5" spans="1:3" x14ac:dyDescent="0.25">
      <c r="A5" s="2" t="s">
        <v>257</v>
      </c>
      <c r="B5" s="2" t="s">
        <v>258</v>
      </c>
      <c r="C5" s="2" t="s">
        <v>256</v>
      </c>
    </row>
    <row r="6" spans="1:3" x14ac:dyDescent="0.25">
      <c r="A6" s="2" t="s">
        <v>259</v>
      </c>
      <c r="B6" s="2" t="s">
        <v>260</v>
      </c>
      <c r="C6" s="2" t="s">
        <v>256</v>
      </c>
    </row>
    <row r="7" spans="1:3" x14ac:dyDescent="0.25">
      <c r="A7" s="2" t="s">
        <v>261</v>
      </c>
      <c r="B7" s="2" t="s">
        <v>262</v>
      </c>
      <c r="C7" s="2" t="s">
        <v>256</v>
      </c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8" t="s">
        <v>263</v>
      </c>
      <c r="B10" s="2"/>
      <c r="C10" s="2"/>
    </row>
    <row r="11" spans="1:3" x14ac:dyDescent="0.25">
      <c r="A11" s="13" t="s">
        <v>264</v>
      </c>
      <c r="B11" s="14"/>
      <c r="C11" s="15"/>
    </row>
    <row r="12" spans="1:3" x14ac:dyDescent="0.25">
      <c r="A12" s="16"/>
      <c r="B12" s="17"/>
      <c r="C12" s="18"/>
    </row>
  </sheetData>
  <mergeCells count="1">
    <mergeCell ref="A11:C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6"/>
  <sheetViews>
    <sheetView showGridLines="0" workbookViewId="0">
      <pane ySplit="1" topLeftCell="A2" activePane="bottomLeft" state="frozen"/>
      <selection pane="bottomLeft" activeCell="B13" sqref="B13"/>
    </sheetView>
  </sheetViews>
  <sheetFormatPr baseColWidth="10" defaultColWidth="9.140625" defaultRowHeight="15" x14ac:dyDescent="0.25"/>
  <cols>
    <col min="1" max="1" width="22" customWidth="1"/>
    <col min="2" max="2" width="30" customWidth="1"/>
    <col min="3" max="3" width="44" customWidth="1"/>
    <col min="4" max="4" width="46" customWidth="1"/>
  </cols>
  <sheetData>
    <row r="1" spans="1:4" x14ac:dyDescent="0.25">
      <c r="A1" s="1" t="s">
        <v>265</v>
      </c>
      <c r="B1" s="1" t="s">
        <v>266</v>
      </c>
      <c r="C1" s="1" t="s">
        <v>267</v>
      </c>
      <c r="D1" s="1" t="s">
        <v>268</v>
      </c>
    </row>
    <row r="2" spans="1:4" ht="30" customHeight="1" x14ac:dyDescent="0.25">
      <c r="A2" s="2" t="s">
        <v>269</v>
      </c>
      <c r="B2" s="2" t="s">
        <v>270</v>
      </c>
      <c r="C2" s="2" t="s">
        <v>271</v>
      </c>
      <c r="D2" s="2" t="s">
        <v>272</v>
      </c>
    </row>
    <row r="3" spans="1:4" ht="30" customHeight="1" x14ac:dyDescent="0.25">
      <c r="A3" s="2" t="s">
        <v>273</v>
      </c>
      <c r="B3" s="2" t="s">
        <v>274</v>
      </c>
      <c r="C3" s="2" t="s">
        <v>275</v>
      </c>
      <c r="D3" s="2" t="s">
        <v>276</v>
      </c>
    </row>
    <row r="4" spans="1:4" ht="30" customHeight="1" x14ac:dyDescent="0.25">
      <c r="A4" s="2" t="s">
        <v>277</v>
      </c>
      <c r="B4" s="2" t="s">
        <v>278</v>
      </c>
      <c r="C4" s="2" t="s">
        <v>279</v>
      </c>
      <c r="D4" s="2" t="s">
        <v>280</v>
      </c>
    </row>
    <row r="5" spans="1:4" ht="30" customHeight="1" x14ac:dyDescent="0.25">
      <c r="A5" s="2" t="s">
        <v>281</v>
      </c>
      <c r="B5" s="2" t="s">
        <v>282</v>
      </c>
      <c r="C5" s="2" t="s">
        <v>283</v>
      </c>
      <c r="D5" s="2" t="s">
        <v>284</v>
      </c>
    </row>
    <row r="6" spans="1:4" x14ac:dyDescent="0.25">
      <c r="A6" s="2" t="s">
        <v>285</v>
      </c>
      <c r="B6" s="2" t="s">
        <v>286</v>
      </c>
      <c r="C6" s="2" t="s">
        <v>287</v>
      </c>
      <c r="D6" s="2" t="s">
        <v>288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Parametros</vt:lpstr>
      <vt:lpstr>Empleados</vt:lpstr>
      <vt:lpstr>Novedades_Horas</vt:lpstr>
      <vt:lpstr>Calculo_Nomina</vt:lpstr>
      <vt:lpstr>Validaciones</vt:lpstr>
      <vt:lpstr>Reporte_Gerencial</vt:lpstr>
      <vt:lpstr>Escenarios</vt:lpstr>
      <vt:lpstr>Agente_NL</vt:lpstr>
      <vt:lpstr>Bitacora_Workflows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.</cp:lastModifiedBy>
  <dcterms:created xsi:type="dcterms:W3CDTF">2026-05-26T20:56:29Z</dcterms:created>
  <dcterms:modified xsi:type="dcterms:W3CDTF">2026-05-26T22:19:44Z</dcterms:modified>
</cp:coreProperties>
</file>